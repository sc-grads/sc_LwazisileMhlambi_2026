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Kayden\"/>
    </mc:Choice>
  </mc:AlternateContent>
  <xr:revisionPtr revIDLastSave="36" documentId="8_{3AA8B296-F537-4C12-A6EB-80C64274943A}" xr6:coauthVersionLast="47" xr6:coauthVersionMax="47" xr10:uidLastSave="{AF92E73B-C72F-4672-887E-CBA4656D98B1}"/>
  <bookViews>
    <workbookView xWindow="2508" yWindow="2508" windowWidth="17280" windowHeight="8880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6" l="1"/>
  <c r="H18" i="6"/>
  <c r="H17" i="6"/>
  <c r="H16" i="6"/>
  <c r="H15" i="6"/>
  <c r="H14" i="6"/>
  <c r="H13" i="6"/>
  <c r="H12" i="6"/>
  <c r="H10" i="6"/>
  <c r="H32" i="6"/>
  <c r="H31" i="6"/>
  <c r="H30" i="6"/>
  <c r="H29" i="6"/>
  <c r="H28" i="6"/>
  <c r="H27" i="6"/>
  <c r="H26" i="6"/>
  <c r="H25" i="6"/>
  <c r="H23" i="6"/>
  <c r="H22" i="6"/>
  <c r="H33" i="6"/>
  <c r="H44" i="6"/>
  <c r="H43" i="6"/>
  <c r="H42" i="6"/>
  <c r="H41" i="6"/>
  <c r="H40" i="6"/>
  <c r="H39" i="6"/>
  <c r="H38" i="6"/>
  <c r="H37" i="6"/>
  <c r="H35" i="6"/>
  <c r="H45" i="6"/>
  <c r="H46" i="6"/>
  <c r="H47" i="6"/>
  <c r="H49" i="6"/>
  <c r="H9" i="6"/>
  <c r="H20" i="6"/>
  <c r="H21" i="6"/>
  <c r="H57" i="6"/>
  <c r="H56" i="6"/>
  <c r="H55" i="6"/>
  <c r="H54" i="6"/>
  <c r="H53" i="6"/>
  <c r="H52" i="6"/>
  <c r="H51" i="6"/>
  <c r="H50" i="6"/>
  <c r="H62" i="6"/>
  <c r="H61" i="6"/>
  <c r="H19" i="5"/>
  <c r="H18" i="5"/>
  <c r="F45" i="10"/>
  <c r="H10" i="5"/>
  <c r="H9" i="3"/>
  <c r="F40" i="1"/>
  <c r="H9" i="1"/>
  <c r="H11" i="1"/>
  <c r="F41" i="10"/>
  <c r="H39" i="4"/>
  <c r="H15" i="1"/>
  <c r="D14" i="9"/>
  <c r="F17" i="8"/>
  <c r="B6" i="8" s="1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63" i="6"/>
  <c r="H9" i="5"/>
  <c r="F41" i="4"/>
  <c r="H11" i="4"/>
  <c r="H32" i="3"/>
  <c r="H39" i="3"/>
  <c r="F43" i="1" l="1"/>
  <c r="H17" i="4"/>
  <c r="H18" i="4"/>
  <c r="H16" i="4"/>
  <c r="H15" i="4"/>
  <c r="H14" i="4"/>
  <c r="H13" i="4"/>
  <c r="H38" i="3"/>
  <c r="H37" i="3"/>
  <c r="H36" i="3"/>
  <c r="H34" i="6" l="1"/>
  <c r="H58" i="6"/>
  <c r="H59" i="6"/>
  <c r="H60" i="6"/>
  <c r="H11" i="5"/>
  <c r="H12" i="5"/>
  <c r="H13" i="5"/>
  <c r="H14" i="5"/>
  <c r="H15" i="5"/>
  <c r="H16" i="5"/>
  <c r="F42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69" i="6" l="1"/>
  <c r="F68" i="6"/>
  <c r="F65" i="6"/>
  <c r="H10" i="3"/>
  <c r="F44" i="3" s="1"/>
  <c r="H11" i="3"/>
  <c r="H12" i="3"/>
  <c r="H13" i="3"/>
  <c r="F38" i="5"/>
  <c r="F41" i="3"/>
  <c r="F46" i="4" l="1"/>
  <c r="F43" i="5"/>
  <c r="F70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<sst xmlns="http://schemas.openxmlformats.org/spreadsheetml/2006/main" count="763" uniqueCount="275">
  <si>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</si>
  <si>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</si>
  <si>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</si>
  <si>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</si>
  <si>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</si>
  <si>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</si>
  <si>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</si>
  <si>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</si>
  <si>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</si>
  <si>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</si>
  <si>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</si>
  <si>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</si>
  <si>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</si>
  <si>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</si>
  <si>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</si>
  <si>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</si>
  <si>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</si>
  <si>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</si>
  <si>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</si>
  <si>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</si>
  <si>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</si>
  <si>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</si>
  <si>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</si>
  <si>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</si>
  <si>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</si>
  <si>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</si>
  <si>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</si>
  <si>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</si>
  <si>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</si>
  <si>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</si>
  <si>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</si>
  <si>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</si>
  <si>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</si>
  <si>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</si>
  <si>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</si>
  <si>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</si>
  <si>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</si>
  <si>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</si>
  <si>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</si>
  <si>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</si>
  <si>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Kayden</t>
  </si>
  <si>
    <t>Meeting</t>
  </si>
  <si>
    <t>Had my Interview</t>
  </si>
  <si>
    <t>Training</t>
  </si>
  <si>
    <t>Tasked with my Dreamboard
Completed my Dreamboard</t>
  </si>
  <si>
    <t>Onboarding day, Dreamboard presentation.
Tasked with Data Management Presentation.
Discovery Registration.</t>
  </si>
  <si>
    <t>Standup Meeting with Clement
received research topics</t>
  </si>
  <si>
    <t>Discovery Assesment.
Did research on topics given.
Attended Graduate and Mentor Meet up session.</t>
  </si>
  <si>
    <t>Did more research for Presentation</t>
  </si>
  <si>
    <t>Attended Daily Standup Meeting.
Discussed reseach topics .</t>
  </si>
  <si>
    <t>Worked on Presentation.
Continued to do some research on given topics.</t>
  </si>
  <si>
    <t>Attended Stand meeting.
Discussed Presentation and given new research topics.
Met with Group for preperation for presentation.</t>
  </si>
  <si>
    <t>Finishing up presentation layout.
Attended Retropective meeting.</t>
  </si>
  <si>
    <t xml:space="preserve">We Had out Moring High-Performers Daily Standup.
I Proceeded to have a practice Presentation with team .
We had ambe Timesheet and CV Discussion till .
Practice Presentation with Clement.
</t>
  </si>
  <si>
    <t>Travel</t>
  </si>
  <si>
    <t xml:space="preserve">Went for Screening
</t>
  </si>
  <si>
    <t xml:space="preserve">Research on Topics for database systems.
We Met with Bongani for High Performers Retrospective.
Research on Version Control.
</t>
  </si>
  <si>
    <t>Proceeded with Moring High-Performers Daily Standup.
Practiced Presentation with team.
Met With Clement to talk about Presentation and research tasks</t>
  </si>
  <si>
    <t>I Did research for new topics
Had a meeting for High Performers Retrospective.
Continued with reseach after meeting.</t>
  </si>
  <si>
    <t>Attended High-Performers Daily Standup.
Did research and practiced presentation.
Attended Midday check up with Clement.</t>
  </si>
  <si>
    <t>Continued with research.
Practice presentation.
Had to certify ID</t>
  </si>
  <si>
    <t>Attended High-Performers Daily Standup.
Corrected research.
Practiced presentation with team. 
Attended Midday check up with Clement.</t>
  </si>
  <si>
    <t>Continued with reseach
Attended High Performers Retrospective. 
Had 1 on 1 with Bongani</t>
  </si>
  <si>
    <t>Attended High-Performers Daily Standup.
Did research and practiced presentation with team.
Attended Midday check up with Clement, and went through the presentation with him.</t>
  </si>
  <si>
    <t>Attended High performers retrospective.
Had 1 on 1 with Clement
Practiced Presentation with Team.
Research and played with git.</t>
  </si>
  <si>
    <t>Had High-Performers Daily Standup
Completed git task, Started new research on topics given.
Attended Mid-day Check-in | Graduate &amp; Mentor Sync, had one on one with Clement and a one on one with Rushil.</t>
  </si>
  <si>
    <t>Continued with research.
Attended a teams meeting for presentation practise.
Attended High Performers Retrospective.</t>
  </si>
  <si>
    <t>Attended  High-Performers Daily Standup.
Continued with research and Tutorial.
Met Team for the presentation practice.
Attended Mid-day check-in.</t>
  </si>
  <si>
    <t xml:space="preserve">Continued with tutorial.
Met team for Presentation practice.
Attended Data Management Presentation. </t>
  </si>
  <si>
    <t>Attended  High-Performers Daily Standup.
Continued with Tutorial.
Met Team for the presentation practice.
Attended Mid-day check-in.
Did Research on topics.</t>
  </si>
  <si>
    <t>Attened a meeting with team for presentation.
Continued with research and tutorial.
Attended High Performers Retrospective.</t>
  </si>
  <si>
    <t>Attended  High-Performers Daily Standup.
Continued with Tutorial.
Attended Mid-day check-in.
Did Research on topics.</t>
  </si>
  <si>
    <t>Attened a meeting with team for presentation.
Continued with research and tutorial.
Attended High Performers Retrospective.
Met team to practice presentation.</t>
  </si>
  <si>
    <t>Attended  High-Performers Daily Standup.
Continued with Tutorial., and research.
Attended Mid-day check-in.
Did Research on topics.</t>
  </si>
  <si>
    <t>Angela &amp; Grad Discussion – Graduate Programme Important Details.
Attened a meeting with team for presentation.
Continued with research and tutorial.
Attended High Performers Retrospective.
Met team to practice presentation.</t>
  </si>
  <si>
    <t>Human Rights Day</t>
  </si>
  <si>
    <t>Attended Standup meeting.
Started courses given by Clement.
Attended midday Meeting.</t>
  </si>
  <si>
    <t>Practiced Presentation with group.
Met Clement and given our new udemy courses, Started with Linux course.
Attended Retrospective meeting.</t>
  </si>
  <si>
    <t>Attended Standup.
Continued with Udemy course.
Attended midday meeting.</t>
  </si>
  <si>
    <t>Met with group to practice presentation.
Pascal came to our practice.
Attended Retrospective meeting</t>
  </si>
  <si>
    <t>Attended Standup in the morning.
Continued with Linux course.</t>
  </si>
  <si>
    <t xml:space="preserve">Continued with Linux course.
Attended Midday meeting. </t>
  </si>
  <si>
    <t>Attended a practice presentation.
Met with the team for the presentation to do it with shaila.
Attended Retrospective meeting.
Continued with the Linux Course.</t>
  </si>
  <si>
    <t>Finished my Linux Course.
Attended Standup meeting.
Prepared for my presentation.</t>
  </si>
  <si>
    <t>Attended practice Presentation with group.
Fixed the Presentation
Attended Retrospective meeting</t>
  </si>
  <si>
    <t>Attended Standup meeting.
Attended practice Presentation.
Attended Application development lifecycle presentation.
Attended Midday meeting and did linux.</t>
  </si>
  <si>
    <t>Started the Excel udemy course.
Attended Retrospective meeting.
Attended supper with Ravi, after the Retrospective meeting.</t>
  </si>
  <si>
    <t>Attended Standup meeting.
Started courses given by Clement (Excel).
Attended midday Meeting.</t>
  </si>
  <si>
    <t>Continued Excel course
Attended Retrospective meeting.</t>
  </si>
  <si>
    <t>Attended Standup meeting.
Continued course.
Attended midday Meeting.</t>
  </si>
  <si>
    <t>Continued with Excel course,
Attended Retrospective meeting.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</si>
  <si>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</si>
  <si>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</si>
  <si>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</si>
  <si>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</si>
  <si>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</si>
  <si>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</si>
  <si>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</si>
  <si>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</si>
  <si>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</si>
  <si>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</si>
  <si>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</si>
  <si>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</si>
  <si>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</si>
  <si>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</si>
  <si>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</si>
  <si>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</si>
  <si>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</si>
  <si>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</si>
  <si>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</si>
  <si>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</si>
  <si>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</si>
  <si>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</si>
  <si>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</si>
  <si>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</si>
  <si>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</si>
  <si>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</si>
  <si>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</si>
  <si>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</si>
  <si>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</si>
  <si>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</si>
  <si>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</si>
  <si>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</si>
  <si>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</si>
  <si>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</si>
  <si>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</si>
  <si>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</si>
  <si>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</si>
  <si>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</si>
  <si>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</si>
  <si>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</si>
  <si>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</si>
  <si>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</si>
  <si>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</si>
  <si>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</si>
  <si>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</si>
  <si>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</si>
  <si>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</si>
  <si>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</si>
  <si>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</si>
  <si>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</si>
  <si>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</si>
  <si>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</si>
  <si>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</si>
  <si>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</si>
  <si>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</si>
  <si>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</si>
  <si>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</si>
  <si>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</si>
  <si>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</si>
  <si>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</si>
  <si>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</si>
  <si>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</si>
  <si>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</si>
  <si>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</si>
  <si>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</si>
  <si>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</si>
  <si>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</si>
  <si>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</si>
  <si>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</si>
  <si>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</si>
  <si>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</si>
  <si>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</si>
  <si>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</si>
  <si>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</si>
  <si>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</si>
  <si>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</si>
  <si>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</si>
  <si>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</si>
  <si>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</si>
  <si>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</si>
  <si>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</si>
  <si>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</si>
  <si>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</si>
  <si>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</si>
  <si>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</si>
  <si>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</si>
  <si>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</si>
  <si>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</si>
  <si>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</si>
  <si>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</si>
  <si>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</si>
  <si>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</si>
  <si>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</si>
  <si>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</si>
  <si>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</si>
  <si>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</si>
  <si>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</si>
  <si>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</si>
  <si>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</si>
  <si>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Research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</si>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</sst>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64557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64"/>
      <c r="I40" s="65"/>
      <c r="J40" s="65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3.95" customHeight="1" thickBot="1" x14ac:dyDescent="0.3">
      <c r="A43" s="116" t="s">
        <v>27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3.95" customHeight="1" thickBot="1" x14ac:dyDescent="0.3">
      <c r="A42" s="116" t="s">
        <v>27</v>
      </c>
      <c r="B42" s="116"/>
      <c r="C42" s="116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7" t="s">
        <v>29</v>
      </c>
      <c r="B44" s="117"/>
      <c r="C44" s="117"/>
      <c r="D44" s="16"/>
      <c r="E44" s="17" t="s">
        <v>30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32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25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3.95" customHeight="1" thickBot="1" x14ac:dyDescent="0.3">
      <c r="A43" s="116" t="s">
        <v>27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3.95" customHeight="1" thickBot="1" x14ac:dyDescent="0.3">
      <c r="A43" s="116" t="s">
        <v>27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29</v>
      </c>
      <c r="B45" s="117"/>
      <c r="C45" s="117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9" zoomScale="75" zoomScaleNormal="75" workbookViewId="0">
      <selection activeCell="B17" sqref="B1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F41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23</v>
      </c>
      <c r="C10" s="27" t="s">
        <v>33</v>
      </c>
      <c r="D10" s="27"/>
      <c r="E10" s="27"/>
      <c r="F10" s="27" t="s">
        <v>35</v>
      </c>
      <c r="G10" s="28"/>
      <c r="H10" s="29">
        <f t="shared" ref="H10" si="0">J10-I10</f>
        <v>0</v>
      </c>
      <c r="I10" s="30">
        <v>0</v>
      </c>
      <c r="J10" s="30">
        <v>0</v>
      </c>
    </row>
    <row r="11" spans="1:10" x14ac:dyDescent="0.2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23</v>
      </c>
      <c r="C17" s="27"/>
      <c r="D17" s="27"/>
      <c r="E17" s="27"/>
      <c r="F17" s="27"/>
      <c r="G17" s="28"/>
      <c r="H17" s="29"/>
      <c r="I17" s="30"/>
      <c r="J17" s="30"/>
    </row>
    <row r="18" spans="1:10" x14ac:dyDescent="0.2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ref="H18:H19" si="2">J18-I18</f>
        <v>0</v>
      </c>
      <c r="I18" s="30"/>
      <c r="J18" s="30"/>
    </row>
    <row r="19" spans="1:10" x14ac:dyDescent="0.2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3.95" customHeight="1" x14ac:dyDescent="0.2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5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5" customHeight="1" x14ac:dyDescent="0.25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3.95" customHeight="1" thickBot="1" x14ac:dyDescent="0.3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4.4" thickBot="1" x14ac:dyDescent="0.3">
      <c r="A40" s="116" t="s">
        <v>27</v>
      </c>
      <c r="B40" s="116"/>
      <c r="C40" s="116"/>
      <c r="D40" s="12"/>
      <c r="E40" s="2"/>
      <c r="F40" s="2"/>
      <c r="H40" s="40"/>
    </row>
    <row r="41" spans="1:10" ht="15" customHeight="1" x14ac:dyDescent="0.25">
      <c r="A41" s="13"/>
      <c r="B41" s="13"/>
      <c r="C41" s="6"/>
      <c r="D41" s="6"/>
      <c r="E41" s="14" t="s">
        <v>28</v>
      </c>
      <c r="F41" s="15">
        <f>SUMIF(F9:F36,"Billable",H9:H36)</f>
        <v>0</v>
      </c>
      <c r="H41" s="38"/>
    </row>
    <row r="42" spans="1:10" ht="14.4" thickBot="1" x14ac:dyDescent="0.3">
      <c r="A42" s="117" t="s">
        <v>29</v>
      </c>
      <c r="B42" s="117"/>
      <c r="C42" s="117"/>
      <c r="D42" s="16"/>
      <c r="E42" s="17" t="s">
        <v>30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31</v>
      </c>
      <c r="F43" s="44">
        <f>F41+F42</f>
        <v>0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32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73"/>
  <sheetViews>
    <sheetView tabSelected="1" topLeftCell="A50" zoomScale="70" zoomScaleNormal="75" workbookViewId="0">
      <selection activeCell="K60" sqref="K6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40</v>
      </c>
      <c r="C5" s="37"/>
      <c r="H5" s="40"/>
    </row>
    <row r="6" spans="1:10" x14ac:dyDescent="0.2">
      <c r="A6" s="37" t="s">
        <v>2</v>
      </c>
      <c r="B6" s="73">
        <f>F68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46083</v>
      </c>
      <c r="B10" s="22" t="s">
        <v>23</v>
      </c>
      <c r="C10" s="27" t="s">
        <v>33</v>
      </c>
      <c r="D10" s="27"/>
      <c r="E10" s="27" t="s">
        <v>41</v>
      </c>
      <c r="F10" s="27" t="s">
        <v>35</v>
      </c>
      <c r="G10" s="28" t="s">
        <v>42</v>
      </c>
      <c r="H10" s="29">
        <f t="shared" ref="H10:H19" si="0">J10-I10</f>
        <v>2.0833333333333259E-2</v>
      </c>
      <c r="I10" s="30">
        <v>0.64583333333333337</v>
      </c>
      <c r="J10" s="30">
        <v>0.66666666666666663</v>
      </c>
    </row>
    <row r="11" spans="1:10" ht="25.2" x14ac:dyDescent="0.2">
      <c r="A11" s="22">
        <v>46083</v>
      </c>
      <c r="B11" s="22" t="s">
        <v>23</v>
      </c>
      <c r="C11" s="27" t="s">
        <v>33</v>
      </c>
      <c r="D11" s="27"/>
      <c r="E11" s="27" t="s">
        <v>43</v>
      </c>
      <c r="F11" s="27" t="s">
        <v>35</v>
      </c>
      <c r="G11" s="28" t="s">
        <v>44</v>
      </c>
      <c r="H11" s="29">
        <v>0.23472222222222222</v>
      </c>
      <c r="I11" s="30">
        <v>0.70833333333333337</v>
      </c>
      <c r="J11" s="30">
        <v>0.94305555555555554</v>
      </c>
    </row>
    <row r="12" spans="1:10" ht="63" x14ac:dyDescent="0.2">
      <c r="A12" s="22">
        <v>46084</v>
      </c>
      <c r="B12" s="22" t="s">
        <v>24</v>
      </c>
      <c r="C12" s="27" t="s">
        <v>33</v>
      </c>
      <c r="D12" s="27"/>
      <c r="E12" s="27" t="s">
        <v>41</v>
      </c>
      <c r="F12" s="27" t="s">
        <v>35</v>
      </c>
      <c r="G12" s="28" t="s">
        <v>45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ht="25.2" x14ac:dyDescent="0.2">
      <c r="A13" s="22">
        <v>46085</v>
      </c>
      <c r="B13" s="22" t="s">
        <v>13</v>
      </c>
      <c r="C13" s="27" t="s">
        <v>33</v>
      </c>
      <c r="D13" s="27"/>
      <c r="E13" s="27" t="s">
        <v>41</v>
      </c>
      <c r="F13" s="27" t="s">
        <v>35</v>
      </c>
      <c r="G13" s="28" t="s">
        <v>46</v>
      </c>
      <c r="H13" s="29">
        <f t="shared" si="0"/>
        <v>0.1701388888888889</v>
      </c>
      <c r="I13" s="30">
        <v>0.33333333333333331</v>
      </c>
      <c r="J13" s="30">
        <v>0.50347222222222221</v>
      </c>
    </row>
    <row r="14" spans="1:10" ht="50.4" x14ac:dyDescent="0.2">
      <c r="A14" s="22">
        <v>46085</v>
      </c>
      <c r="B14" s="22" t="s">
        <v>13</v>
      </c>
      <c r="C14" s="27" t="s">
        <v>33</v>
      </c>
      <c r="D14" s="27"/>
      <c r="E14" s="27" t="s">
        <v>43</v>
      </c>
      <c r="F14" s="27" t="s">
        <v>35</v>
      </c>
      <c r="G14" s="28" t="s">
        <v>47</v>
      </c>
      <c r="H14" s="29">
        <f t="shared" si="0"/>
        <v>9.027777777777779E-2</v>
      </c>
      <c r="I14" s="30">
        <v>0.54513888888888884</v>
      </c>
      <c r="J14" s="30">
        <v>0.63541666666666663</v>
      </c>
    </row>
    <row r="15" spans="1:10" x14ac:dyDescent="0.2">
      <c r="A15" s="22">
        <v>46085</v>
      </c>
      <c r="B15" s="22" t="s">
        <v>13</v>
      </c>
      <c r="C15" s="27" t="s">
        <v>33</v>
      </c>
      <c r="D15" s="27"/>
      <c r="E15" s="27" t="s">
        <v>41</v>
      </c>
      <c r="F15" s="27" t="s">
        <v>35</v>
      </c>
      <c r="G15" s="28" t="s">
        <v>48</v>
      </c>
      <c r="H15" s="29">
        <f t="shared" si="0"/>
        <v>4.1666666666666741E-2</v>
      </c>
      <c r="I15" s="30">
        <v>0.66666666666666663</v>
      </c>
      <c r="J15" s="30">
        <v>0.70833333333333337</v>
      </c>
    </row>
    <row r="16" spans="1:10" ht="25.2" x14ac:dyDescent="0.2">
      <c r="A16" s="22">
        <v>46086</v>
      </c>
      <c r="B16" s="22" t="s">
        <v>19</v>
      </c>
      <c r="C16" s="27" t="s">
        <v>33</v>
      </c>
      <c r="D16" s="27"/>
      <c r="E16" s="27" t="s">
        <v>41</v>
      </c>
      <c r="F16" s="27" t="s">
        <v>35</v>
      </c>
      <c r="G16" s="28" t="s">
        <v>49</v>
      </c>
      <c r="H16" s="29">
        <f t="shared" si="0"/>
        <v>0.16875000000000001</v>
      </c>
      <c r="I16" s="30">
        <v>0.33333333333333331</v>
      </c>
      <c r="J16" s="30">
        <v>0.50208333333333333</v>
      </c>
    </row>
    <row r="17" spans="1:10" ht="37.799999999999997" x14ac:dyDescent="0.2">
      <c r="A17" s="22">
        <v>46086</v>
      </c>
      <c r="B17" s="22" t="s">
        <v>19</v>
      </c>
      <c r="C17" s="27" t="s">
        <v>33</v>
      </c>
      <c r="D17" s="27"/>
      <c r="E17" s="27" t="s">
        <v>43</v>
      </c>
      <c r="F17" s="27" t="s">
        <v>35</v>
      </c>
      <c r="G17" s="28" t="s">
        <v>50</v>
      </c>
      <c r="H17" s="29">
        <f t="shared" si="0"/>
        <v>0.18263888888888891</v>
      </c>
      <c r="I17" s="30">
        <v>0.55555555555555558</v>
      </c>
      <c r="J17" s="30">
        <v>0.73819444444444449</v>
      </c>
    </row>
    <row r="18" spans="1:10" ht="63" x14ac:dyDescent="0.2">
      <c r="A18" s="22">
        <v>46087</v>
      </c>
      <c r="B18" s="22" t="s">
        <v>20</v>
      </c>
      <c r="C18" s="27" t="s">
        <v>33</v>
      </c>
      <c r="D18" s="27"/>
      <c r="E18" s="27" t="s">
        <v>43</v>
      </c>
      <c r="F18" s="27" t="s">
        <v>35</v>
      </c>
      <c r="G18" s="28" t="s">
        <v>51</v>
      </c>
      <c r="H18" s="29">
        <f t="shared" si="0"/>
        <v>0.16736111111111113</v>
      </c>
      <c r="I18" s="30">
        <v>0.33333333333333331</v>
      </c>
      <c r="J18" s="30">
        <v>0.50069444444444444</v>
      </c>
    </row>
    <row r="19" spans="1:10" ht="25.2" x14ac:dyDescent="0.2">
      <c r="A19" s="22">
        <v>46087</v>
      </c>
      <c r="B19" s="22" t="s">
        <v>20</v>
      </c>
      <c r="C19" s="27" t="s">
        <v>33</v>
      </c>
      <c r="D19" s="27"/>
      <c r="E19" s="27" t="s">
        <v>43</v>
      </c>
      <c r="F19" s="27" t="s">
        <v>35</v>
      </c>
      <c r="G19" s="28" t="s">
        <v>52</v>
      </c>
      <c r="H19" s="29">
        <f t="shared" si="0"/>
        <v>0.19027777777777777</v>
      </c>
      <c r="I19" s="30">
        <v>0.54374999999999996</v>
      </c>
      <c r="J19" s="30">
        <v>0.73402777777777772</v>
      </c>
    </row>
    <row r="20" spans="1:10" x14ac:dyDescent="0.2">
      <c r="A20" s="31">
        <v>46088</v>
      </c>
      <c r="B20" s="31" t="s">
        <v>21</v>
      </c>
      <c r="C20" s="32"/>
      <c r="D20" s="32"/>
      <c r="E20" s="32"/>
      <c r="F20" s="32"/>
      <c r="G20" s="33"/>
      <c r="H20" s="34">
        <f t="shared" ref="H20:H35" si="1">J20-I20</f>
        <v>0</v>
      </c>
      <c r="I20" s="35"/>
      <c r="J20" s="35"/>
    </row>
    <row r="21" spans="1:10" x14ac:dyDescent="0.2">
      <c r="A21" s="31">
        <v>46089</v>
      </c>
      <c r="B21" s="31" t="s">
        <v>22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ht="100.8" x14ac:dyDescent="0.2">
      <c r="A22" s="22">
        <v>46090</v>
      </c>
      <c r="B22" s="22" t="s">
        <v>23</v>
      </c>
      <c r="C22" s="27" t="s">
        <v>33</v>
      </c>
      <c r="D22" s="27"/>
      <c r="E22" s="27" t="s">
        <v>41</v>
      </c>
      <c r="F22" s="27" t="s">
        <v>35</v>
      </c>
      <c r="G22" s="28" t="s">
        <v>53</v>
      </c>
      <c r="H22" s="29">
        <f t="shared" si="1"/>
        <v>0.16666666666666669</v>
      </c>
      <c r="I22" s="30">
        <v>0.33333333333333331</v>
      </c>
      <c r="J22" s="30">
        <v>0.5</v>
      </c>
    </row>
    <row r="23" spans="1:10" ht="25.2" x14ac:dyDescent="0.2">
      <c r="A23" s="22">
        <v>46090</v>
      </c>
      <c r="B23" s="22" t="s">
        <v>23</v>
      </c>
      <c r="C23" s="27" t="s">
        <v>33</v>
      </c>
      <c r="D23" s="27"/>
      <c r="E23" s="27" t="s">
        <v>54</v>
      </c>
      <c r="F23" s="27" t="s">
        <v>35</v>
      </c>
      <c r="G23" s="28" t="s">
        <v>55</v>
      </c>
      <c r="H23" s="29">
        <f t="shared" si="1"/>
        <v>0.10416666666666663</v>
      </c>
      <c r="I23" s="30">
        <v>0.5</v>
      </c>
      <c r="J23" s="30">
        <v>0.60416666666666663</v>
      </c>
    </row>
    <row r="24" spans="1:10" ht="88.2" x14ac:dyDescent="0.2">
      <c r="A24" s="22">
        <v>46090</v>
      </c>
      <c r="B24" s="22" t="s">
        <v>23</v>
      </c>
      <c r="C24" s="27" t="s">
        <v>33</v>
      </c>
      <c r="D24" s="27"/>
      <c r="E24" s="27" t="s">
        <v>41</v>
      </c>
      <c r="F24" s="27" t="s">
        <v>35</v>
      </c>
      <c r="G24" s="28" t="s">
        <v>56</v>
      </c>
      <c r="H24" s="29">
        <v>6.458333333333334E-2</v>
      </c>
      <c r="I24" s="30">
        <v>0.64583333333333337</v>
      </c>
      <c r="J24" s="30">
        <v>0.7104166666666667</v>
      </c>
    </row>
    <row r="25" spans="1:10" ht="63" x14ac:dyDescent="0.2">
      <c r="A25" s="22">
        <v>46091</v>
      </c>
      <c r="B25" s="22" t="s">
        <v>24</v>
      </c>
      <c r="C25" s="27" t="s">
        <v>33</v>
      </c>
      <c r="D25" s="27"/>
      <c r="E25" s="27" t="s">
        <v>41</v>
      </c>
      <c r="F25" s="27" t="s">
        <v>35</v>
      </c>
      <c r="G25" s="28" t="s">
        <v>57</v>
      </c>
      <c r="H25" s="29">
        <f t="shared" si="1"/>
        <v>0.17499999999999999</v>
      </c>
      <c r="I25" s="30">
        <v>0.33333333333333331</v>
      </c>
      <c r="J25" s="30">
        <v>0.5083333333333333</v>
      </c>
    </row>
    <row r="26" spans="1:10" ht="63" x14ac:dyDescent="0.2">
      <c r="A26" s="22">
        <v>46091</v>
      </c>
      <c r="B26" s="22" t="s">
        <v>24</v>
      </c>
      <c r="C26" s="27" t="s">
        <v>33</v>
      </c>
      <c r="D26" s="27"/>
      <c r="E26" s="27" t="s">
        <v>41</v>
      </c>
      <c r="F26" s="27" t="s">
        <v>35</v>
      </c>
      <c r="G26" s="28" t="s">
        <v>58</v>
      </c>
      <c r="H26" s="29">
        <f t="shared" si="1"/>
        <v>0.17569444444444438</v>
      </c>
      <c r="I26" s="30">
        <v>0.55000000000000004</v>
      </c>
      <c r="J26" s="30">
        <v>0.72569444444444442</v>
      </c>
    </row>
    <row r="27" spans="1:10" ht="75.599999999999994" x14ac:dyDescent="0.2">
      <c r="A27" s="22">
        <v>46092</v>
      </c>
      <c r="B27" s="22" t="s">
        <v>13</v>
      </c>
      <c r="C27" s="27" t="s">
        <v>33</v>
      </c>
      <c r="D27" s="27"/>
      <c r="E27" s="27" t="s">
        <v>41</v>
      </c>
      <c r="F27" s="27" t="s">
        <v>35</v>
      </c>
      <c r="G27" s="28" t="s">
        <v>59</v>
      </c>
      <c r="H27" s="29">
        <f t="shared" si="1"/>
        <v>0.19236111111111115</v>
      </c>
      <c r="I27" s="30">
        <v>0.33333333333333331</v>
      </c>
      <c r="J27" s="30">
        <v>0.52569444444444446</v>
      </c>
    </row>
    <row r="28" spans="1:10" ht="37.799999999999997" x14ac:dyDescent="0.2">
      <c r="A28" s="22">
        <v>46092</v>
      </c>
      <c r="B28" s="22" t="s">
        <v>13</v>
      </c>
      <c r="C28" s="27" t="s">
        <v>33</v>
      </c>
      <c r="D28" s="27"/>
      <c r="E28" s="27" t="s">
        <v>43</v>
      </c>
      <c r="F28" s="27" t="s">
        <v>35</v>
      </c>
      <c r="G28" s="28" t="s">
        <v>60</v>
      </c>
      <c r="H28" s="29">
        <f t="shared" si="1"/>
        <v>0.15833333333333333</v>
      </c>
      <c r="I28" s="30">
        <v>0.55833333333333335</v>
      </c>
      <c r="J28" s="30">
        <v>0.71666666666666667</v>
      </c>
    </row>
    <row r="29" spans="1:10" ht="75.599999999999994" x14ac:dyDescent="0.2">
      <c r="A29" s="22">
        <v>46093</v>
      </c>
      <c r="B29" s="22" t="s">
        <v>19</v>
      </c>
      <c r="C29" s="27" t="s">
        <v>33</v>
      </c>
      <c r="D29" s="27"/>
      <c r="E29" s="27" t="s">
        <v>41</v>
      </c>
      <c r="F29" s="27" t="s">
        <v>35</v>
      </c>
      <c r="G29" s="28" t="s">
        <v>61</v>
      </c>
      <c r="H29" s="29">
        <f t="shared" si="1"/>
        <v>0.18263888888888896</v>
      </c>
      <c r="I29" s="30">
        <v>0.33333333333333331</v>
      </c>
      <c r="J29" s="30">
        <v>0.51597222222222228</v>
      </c>
    </row>
    <row r="30" spans="1:10" ht="50.4" x14ac:dyDescent="0.2">
      <c r="A30" s="22">
        <v>46093</v>
      </c>
      <c r="B30" s="22" t="s">
        <v>19</v>
      </c>
      <c r="C30" s="27" t="s">
        <v>33</v>
      </c>
      <c r="D30" s="27"/>
      <c r="E30" s="27" t="s">
        <v>43</v>
      </c>
      <c r="F30" s="27" t="s">
        <v>35</v>
      </c>
      <c r="G30" s="28" t="s">
        <v>62</v>
      </c>
      <c r="H30" s="29">
        <f t="shared" si="1"/>
        <v>0.18194444444444446</v>
      </c>
      <c r="I30" s="30">
        <v>0.55347222222222225</v>
      </c>
      <c r="J30" s="30">
        <v>0.73541666666666672</v>
      </c>
    </row>
    <row r="31" spans="1:10" ht="88.2" x14ac:dyDescent="0.2">
      <c r="A31" s="22">
        <v>46094</v>
      </c>
      <c r="B31" s="22" t="s">
        <v>20</v>
      </c>
      <c r="C31" s="27" t="s">
        <v>33</v>
      </c>
      <c r="D31" s="27"/>
      <c r="E31" s="27" t="s">
        <v>41</v>
      </c>
      <c r="F31" s="27" t="s">
        <v>35</v>
      </c>
      <c r="G31" s="28" t="s">
        <v>63</v>
      </c>
      <c r="H31" s="29">
        <f t="shared" si="1"/>
        <v>0.18680555555555561</v>
      </c>
      <c r="I31" s="30">
        <v>0.33333333333333331</v>
      </c>
      <c r="J31" s="30">
        <v>0.52013888888888893</v>
      </c>
    </row>
    <row r="32" spans="1:10" ht="63" x14ac:dyDescent="0.2">
      <c r="A32" s="22">
        <v>46094</v>
      </c>
      <c r="B32" s="22" t="s">
        <v>20</v>
      </c>
      <c r="C32" s="27" t="s">
        <v>33</v>
      </c>
      <c r="D32" s="27"/>
      <c r="E32" s="27" t="s">
        <v>43</v>
      </c>
      <c r="F32" s="27" t="s">
        <v>35</v>
      </c>
      <c r="G32" s="28" t="s">
        <v>64</v>
      </c>
      <c r="H32" s="29">
        <f t="shared" si="1"/>
        <v>0.14513888888888893</v>
      </c>
      <c r="I32" s="30">
        <v>0.56736111111111109</v>
      </c>
      <c r="J32" s="30">
        <v>0.71250000000000002</v>
      </c>
    </row>
    <row r="33" spans="1:10" x14ac:dyDescent="0.2">
      <c r="A33" s="31">
        <v>46095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46096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ht="88.2" x14ac:dyDescent="0.2">
      <c r="A35" s="22">
        <v>46097</v>
      </c>
      <c r="B35" s="22" t="s">
        <v>23</v>
      </c>
      <c r="C35" s="27" t="s">
        <v>33</v>
      </c>
      <c r="D35" s="27"/>
      <c r="E35" s="27" t="s">
        <v>41</v>
      </c>
      <c r="F35" s="27" t="s">
        <v>35</v>
      </c>
      <c r="G35" s="28" t="s">
        <v>65</v>
      </c>
      <c r="H35" s="29">
        <f t="shared" si="1"/>
        <v>0.19305555555555559</v>
      </c>
      <c r="I35" s="30">
        <v>0.33333333333333331</v>
      </c>
      <c r="J35" s="30">
        <v>0.52638888888888891</v>
      </c>
    </row>
    <row r="36" spans="1:10" ht="63" x14ac:dyDescent="0.2">
      <c r="A36" s="22">
        <v>46097</v>
      </c>
      <c r="B36" s="22" t="s">
        <v>23</v>
      </c>
      <c r="C36" s="27" t="s">
        <v>33</v>
      </c>
      <c r="D36" s="27"/>
      <c r="E36" s="27" t="s">
        <v>43</v>
      </c>
      <c r="F36" s="27" t="s">
        <v>35</v>
      </c>
      <c r="G36" s="28" t="s">
        <v>66</v>
      </c>
      <c r="H36" s="29">
        <v>0.14861111111111111</v>
      </c>
      <c r="I36" s="30">
        <v>0.56736111111111109</v>
      </c>
      <c r="J36" s="30">
        <v>0.71597222222222223</v>
      </c>
    </row>
    <row r="37" spans="1:10" ht="88.2" x14ac:dyDescent="0.2">
      <c r="A37" s="22">
        <v>46098</v>
      </c>
      <c r="B37" s="22" t="s">
        <v>24</v>
      </c>
      <c r="C37" s="27" t="s">
        <v>33</v>
      </c>
      <c r="D37" s="27"/>
      <c r="E37" s="27" t="s">
        <v>43</v>
      </c>
      <c r="F37" s="27" t="s">
        <v>35</v>
      </c>
      <c r="G37" s="28" t="s">
        <v>67</v>
      </c>
      <c r="H37" s="29">
        <f t="shared" ref="H37:H44" si="2">J37-I37</f>
        <v>0.19513888888888892</v>
      </c>
      <c r="I37" s="30">
        <v>0.33333333333333331</v>
      </c>
      <c r="J37" s="30">
        <v>0.52847222222222223</v>
      </c>
    </row>
    <row r="38" spans="1:10" ht="50.4" x14ac:dyDescent="0.2">
      <c r="A38" s="22">
        <v>46098</v>
      </c>
      <c r="B38" s="22" t="s">
        <v>24</v>
      </c>
      <c r="C38" s="27" t="s">
        <v>33</v>
      </c>
      <c r="D38" s="27"/>
      <c r="E38" s="27" t="s">
        <v>41</v>
      </c>
      <c r="F38" s="27" t="s">
        <v>35</v>
      </c>
      <c r="G38" s="28" t="s">
        <v>68</v>
      </c>
      <c r="H38" s="29">
        <f t="shared" si="2"/>
        <v>0.18819444444444444</v>
      </c>
      <c r="I38" s="30">
        <v>0.56180555555555556</v>
      </c>
      <c r="J38" s="30">
        <v>0.75</v>
      </c>
    </row>
    <row r="39" spans="1:10" ht="88.2" x14ac:dyDescent="0.2">
      <c r="A39" s="22">
        <v>46099</v>
      </c>
      <c r="B39" s="22" t="s">
        <v>13</v>
      </c>
      <c r="C39" s="27" t="s">
        <v>33</v>
      </c>
      <c r="D39" s="27"/>
      <c r="E39" s="27" t="s">
        <v>41</v>
      </c>
      <c r="F39" s="27" t="s">
        <v>35</v>
      </c>
      <c r="G39" s="28" t="s">
        <v>69</v>
      </c>
      <c r="H39" s="29">
        <f t="shared" si="2"/>
        <v>0.19513888888888892</v>
      </c>
      <c r="I39" s="30">
        <v>0.33333333333333331</v>
      </c>
      <c r="J39" s="30">
        <v>0.52847222222222223</v>
      </c>
    </row>
    <row r="40" spans="1:10" ht="63" x14ac:dyDescent="0.2">
      <c r="A40" s="22">
        <v>46099</v>
      </c>
      <c r="B40" s="22" t="s">
        <v>13</v>
      </c>
      <c r="C40" s="27" t="s">
        <v>33</v>
      </c>
      <c r="D40" s="27"/>
      <c r="E40" s="27" t="s">
        <v>43</v>
      </c>
      <c r="F40" s="27" t="s">
        <v>35</v>
      </c>
      <c r="G40" s="28" t="s">
        <v>70</v>
      </c>
      <c r="H40" s="29">
        <f t="shared" si="2"/>
        <v>0.14861111111111114</v>
      </c>
      <c r="I40" s="30">
        <v>0.56944444444444442</v>
      </c>
      <c r="J40" s="30">
        <v>0.71805555555555556</v>
      </c>
    </row>
    <row r="41" spans="1:10" ht="63" x14ac:dyDescent="0.2">
      <c r="A41" s="22">
        <v>46100</v>
      </c>
      <c r="B41" s="22" t="s">
        <v>19</v>
      </c>
      <c r="C41" s="27" t="s">
        <v>33</v>
      </c>
      <c r="D41" s="27"/>
      <c r="E41" s="27" t="s">
        <v>41</v>
      </c>
      <c r="F41" s="27" t="s">
        <v>35</v>
      </c>
      <c r="G41" s="28" t="s">
        <v>71</v>
      </c>
      <c r="H41" s="29">
        <f t="shared" si="2"/>
        <v>0.18750000000000006</v>
      </c>
      <c r="I41" s="30">
        <v>0.33333333333333331</v>
      </c>
      <c r="J41" s="30">
        <v>0.52083333333333337</v>
      </c>
    </row>
    <row r="42" spans="1:10" ht="75.599999999999994" x14ac:dyDescent="0.2">
      <c r="A42" s="22">
        <v>46100</v>
      </c>
      <c r="B42" s="22" t="s">
        <v>19</v>
      </c>
      <c r="C42" s="27" t="s">
        <v>33</v>
      </c>
      <c r="D42" s="27"/>
      <c r="E42" s="27" t="s">
        <v>43</v>
      </c>
      <c r="F42" s="27" t="s">
        <v>35</v>
      </c>
      <c r="G42" s="28" t="s">
        <v>72</v>
      </c>
      <c r="H42" s="29">
        <f t="shared" si="2"/>
        <v>0.1479166666666667</v>
      </c>
      <c r="I42" s="30">
        <v>0.56111111111111112</v>
      </c>
      <c r="J42" s="30">
        <v>0.70902777777777781</v>
      </c>
    </row>
    <row r="43" spans="1:10" ht="75.599999999999994" x14ac:dyDescent="0.2">
      <c r="A43" s="22">
        <v>46101</v>
      </c>
      <c r="B43" s="22" t="s">
        <v>20</v>
      </c>
      <c r="C43" s="27" t="s">
        <v>33</v>
      </c>
      <c r="D43" s="27"/>
      <c r="E43" s="27" t="s">
        <v>41</v>
      </c>
      <c r="F43" s="27" t="s">
        <v>35</v>
      </c>
      <c r="G43" s="28" t="s">
        <v>73</v>
      </c>
      <c r="H43" s="29">
        <f t="shared" si="2"/>
        <v>0.16597222222222224</v>
      </c>
      <c r="I43" s="30">
        <v>0.33333333333333331</v>
      </c>
      <c r="J43" s="30">
        <v>0.49930555555555556</v>
      </c>
    </row>
    <row r="44" spans="1:10" ht="113.4" x14ac:dyDescent="0.2">
      <c r="A44" s="22">
        <v>46101</v>
      </c>
      <c r="B44" s="22" t="s">
        <v>20</v>
      </c>
      <c r="C44" s="27" t="s">
        <v>33</v>
      </c>
      <c r="D44" s="27"/>
      <c r="E44" s="27" t="s">
        <v>41</v>
      </c>
      <c r="F44" s="27" t="s">
        <v>35</v>
      </c>
      <c r="G44" s="28" t="s">
        <v>74</v>
      </c>
      <c r="H44" s="29">
        <f t="shared" si="2"/>
        <v>0.1743055555555556</v>
      </c>
      <c r="I44" s="30">
        <v>0.53749999999999998</v>
      </c>
      <c r="J44" s="30">
        <v>0.71180555555555558</v>
      </c>
    </row>
    <row r="45" spans="1:10" x14ac:dyDescent="0.2">
      <c r="A45" s="31">
        <v>46102</v>
      </c>
      <c r="B45" s="22" t="s">
        <v>21</v>
      </c>
      <c r="C45" s="48" t="s">
        <v>33</v>
      </c>
      <c r="D45" s="48"/>
      <c r="E45" s="48" t="s">
        <v>34</v>
      </c>
      <c r="F45" s="48" t="s">
        <v>35</v>
      </c>
      <c r="G45" s="49" t="s">
        <v>75</v>
      </c>
      <c r="H45" s="50">
        <f t="shared" ref="H45:H63" si="3">J45-I45</f>
        <v>0.33333333333333331</v>
      </c>
      <c r="I45" s="51">
        <v>0.33333333333333331</v>
      </c>
      <c r="J45" s="51">
        <v>0.66666666666666663</v>
      </c>
    </row>
    <row r="46" spans="1:10" x14ac:dyDescent="0.2">
      <c r="A46" s="31">
        <v>46103</v>
      </c>
      <c r="B46" s="22" t="s">
        <v>22</v>
      </c>
      <c r="C46" s="32"/>
      <c r="D46" s="32"/>
      <c r="E46" s="32"/>
      <c r="F46" s="32"/>
      <c r="G46" s="33"/>
      <c r="H46" s="34">
        <f t="shared" si="3"/>
        <v>0</v>
      </c>
      <c r="I46" s="35"/>
      <c r="J46" s="35"/>
    </row>
    <row r="47" spans="1:10" ht="37.799999999999997" x14ac:dyDescent="0.2">
      <c r="A47" s="22">
        <v>46104</v>
      </c>
      <c r="B47" s="22" t="s">
        <v>23</v>
      </c>
      <c r="C47" s="27" t="s">
        <v>33</v>
      </c>
      <c r="D47" s="27"/>
      <c r="E47" s="27" t="s">
        <v>43</v>
      </c>
      <c r="F47" s="27" t="s">
        <v>35</v>
      </c>
      <c r="G47" s="28" t="s">
        <v>76</v>
      </c>
      <c r="H47" s="29">
        <f t="shared" si="3"/>
        <v>0.19791666666666669</v>
      </c>
      <c r="I47" s="30">
        <v>0.33333333333333331</v>
      </c>
      <c r="J47" s="30">
        <v>0.53125</v>
      </c>
    </row>
    <row r="48" spans="1:10" ht="63" x14ac:dyDescent="0.2">
      <c r="A48" s="22">
        <v>46104</v>
      </c>
      <c r="B48" s="22" t="s">
        <v>23</v>
      </c>
      <c r="C48" s="27" t="s">
        <v>33</v>
      </c>
      <c r="D48" s="27"/>
      <c r="E48" s="27" t="s">
        <v>41</v>
      </c>
      <c r="F48" s="27" t="s">
        <v>35</v>
      </c>
      <c r="G48" s="28" t="s">
        <v>77</v>
      </c>
      <c r="H48" s="29">
        <v>0.17152777777777778</v>
      </c>
      <c r="I48" s="30">
        <v>0.57291666666666663</v>
      </c>
      <c r="J48" s="30">
        <v>0.71666666666666667</v>
      </c>
    </row>
    <row r="49" spans="1:10" ht="37.799999999999997" x14ac:dyDescent="0.2">
      <c r="A49" s="22">
        <v>46105</v>
      </c>
      <c r="B49" s="22" t="s">
        <v>24</v>
      </c>
      <c r="C49" s="27" t="s">
        <v>33</v>
      </c>
      <c r="D49" s="27"/>
      <c r="E49" s="27" t="s">
        <v>41</v>
      </c>
      <c r="F49" s="27" t="s">
        <v>35</v>
      </c>
      <c r="G49" s="28" t="s">
        <v>78</v>
      </c>
      <c r="H49" s="29">
        <f t="shared" si="3"/>
        <v>0.19444444444444448</v>
      </c>
      <c r="I49" s="30">
        <v>0.33333333333333331</v>
      </c>
      <c r="J49" s="30">
        <v>0.52777777777777779</v>
      </c>
    </row>
    <row r="50" spans="1:10" ht="50.4" x14ac:dyDescent="0.2">
      <c r="A50" s="22">
        <v>46105</v>
      </c>
      <c r="B50" s="22" t="s">
        <v>24</v>
      </c>
      <c r="C50" s="27" t="s">
        <v>33</v>
      </c>
      <c r="D50" s="27"/>
      <c r="E50" s="27" t="s">
        <v>43</v>
      </c>
      <c r="F50" s="27" t="s">
        <v>35</v>
      </c>
      <c r="G50" s="28" t="s">
        <v>79</v>
      </c>
      <c r="H50" s="29">
        <f t="shared" si="3"/>
        <v>0.1479166666666667</v>
      </c>
      <c r="I50" s="30">
        <v>0.56736111111111109</v>
      </c>
      <c r="J50" s="30">
        <v>0.71527777777777779</v>
      </c>
    </row>
    <row r="51" spans="1:10" ht="25.2" x14ac:dyDescent="0.2">
      <c r="A51" s="22">
        <v>46106</v>
      </c>
      <c r="B51" s="22" t="s">
        <v>13</v>
      </c>
      <c r="C51" s="27" t="s">
        <v>33</v>
      </c>
      <c r="D51" s="27"/>
      <c r="E51" s="27" t="s">
        <v>43</v>
      </c>
      <c r="F51" s="27" t="s">
        <v>35</v>
      </c>
      <c r="G51" s="28" t="s">
        <v>80</v>
      </c>
      <c r="H51" s="29">
        <f t="shared" si="3"/>
        <v>8.4027777777777812E-2</v>
      </c>
      <c r="I51" s="30">
        <v>0.33333333333333331</v>
      </c>
      <c r="J51" s="30">
        <v>0.41736111111111113</v>
      </c>
    </row>
    <row r="52" spans="1:10" ht="25.2" x14ac:dyDescent="0.2">
      <c r="A52" s="22">
        <v>46106</v>
      </c>
      <c r="B52" s="22" t="s">
        <v>13</v>
      </c>
      <c r="C52" s="27" t="s">
        <v>33</v>
      </c>
      <c r="D52" s="27"/>
      <c r="E52" s="27" t="s">
        <v>41</v>
      </c>
      <c r="F52" s="27" t="s">
        <v>35</v>
      </c>
      <c r="G52" s="28" t="s">
        <v>81</v>
      </c>
      <c r="H52" s="29">
        <f t="shared" si="3"/>
        <v>8.8194444444444409E-2</v>
      </c>
      <c r="I52" s="30">
        <v>0.42430555555555555</v>
      </c>
      <c r="J52" s="30">
        <v>0.51249999999999996</v>
      </c>
    </row>
    <row r="53" spans="1:10" ht="63" x14ac:dyDescent="0.2">
      <c r="A53" s="22">
        <v>46106</v>
      </c>
      <c r="B53" s="22" t="s">
        <v>13</v>
      </c>
      <c r="C53" s="27" t="s">
        <v>33</v>
      </c>
      <c r="D53" s="27"/>
      <c r="E53" s="27" t="s">
        <v>43</v>
      </c>
      <c r="F53" s="27" t="s">
        <v>35</v>
      </c>
      <c r="G53" s="28" t="s">
        <v>82</v>
      </c>
      <c r="H53" s="29">
        <f t="shared" si="3"/>
        <v>0.25138888888888888</v>
      </c>
      <c r="I53" s="30">
        <v>0.54791666666666672</v>
      </c>
      <c r="J53" s="30">
        <v>0.7993055555555556</v>
      </c>
    </row>
    <row r="54" spans="1:10" ht="13.95" customHeight="1" x14ac:dyDescent="0.2">
      <c r="A54" s="22">
        <v>46107</v>
      </c>
      <c r="B54" s="22" t="s">
        <v>19</v>
      </c>
      <c r="C54" s="27" t="s">
        <v>33</v>
      </c>
      <c r="D54" s="27"/>
      <c r="E54" s="27" t="s">
        <v>41</v>
      </c>
      <c r="F54" s="27" t="s">
        <v>35</v>
      </c>
      <c r="G54" s="28" t="s">
        <v>83</v>
      </c>
      <c r="H54" s="29">
        <f t="shared" si="3"/>
        <v>0.19444444444444448</v>
      </c>
      <c r="I54" s="30">
        <v>0.33333333333333331</v>
      </c>
      <c r="J54" s="30">
        <v>0.52777777777777779</v>
      </c>
    </row>
    <row r="55" spans="1:10" ht="13.95" customHeight="1" x14ac:dyDescent="0.2">
      <c r="A55" s="22">
        <v>46107</v>
      </c>
      <c r="B55" s="22" t="s">
        <v>19</v>
      </c>
      <c r="C55" s="27" t="s">
        <v>33</v>
      </c>
      <c r="D55" s="27"/>
      <c r="E55" s="27" t="s">
        <v>41</v>
      </c>
      <c r="F55" s="27" t="s">
        <v>35</v>
      </c>
      <c r="G55" s="28" t="s">
        <v>84</v>
      </c>
      <c r="H55" s="29">
        <f t="shared" si="3"/>
        <v>0.15625</v>
      </c>
      <c r="I55" s="30">
        <v>0.56597222222222221</v>
      </c>
      <c r="J55" s="30">
        <v>0.72222222222222221</v>
      </c>
    </row>
    <row r="56" spans="1:10" ht="13.95" customHeight="1" x14ac:dyDescent="0.2">
      <c r="A56" s="22">
        <v>46108</v>
      </c>
      <c r="B56" s="22" t="s">
        <v>20</v>
      </c>
      <c r="C56" s="27" t="s">
        <v>33</v>
      </c>
      <c r="D56" s="27"/>
      <c r="E56" s="27" t="s">
        <v>41</v>
      </c>
      <c r="F56" s="27" t="s">
        <v>35</v>
      </c>
      <c r="G56" s="28" t="s">
        <v>85</v>
      </c>
      <c r="H56" s="29">
        <f t="shared" si="3"/>
        <v>0.19722222222222224</v>
      </c>
      <c r="I56" s="30">
        <v>0.33333333333333331</v>
      </c>
      <c r="J56" s="30">
        <v>0.53055555555555556</v>
      </c>
    </row>
    <row r="57" spans="1:10" ht="13.95" customHeight="1" x14ac:dyDescent="0.2">
      <c r="A57" s="22">
        <v>46108</v>
      </c>
      <c r="B57" s="22" t="s">
        <v>20</v>
      </c>
      <c r="C57" s="27" t="s">
        <v>33</v>
      </c>
      <c r="D57" s="27"/>
      <c r="E57" s="27" t="s">
        <v>41</v>
      </c>
      <c r="F57" s="27" t="s">
        <v>35</v>
      </c>
      <c r="G57" s="28" t="s">
        <v>86</v>
      </c>
      <c r="H57" s="29">
        <f t="shared" si="3"/>
        <v>0.13888888888888895</v>
      </c>
      <c r="I57" s="30">
        <v>0.56944444444444442</v>
      </c>
      <c r="J57" s="30">
        <v>0.70833333333333337</v>
      </c>
    </row>
    <row r="58" spans="1:10" ht="13.95" customHeight="1" x14ac:dyDescent="0.2">
      <c r="A58" s="31">
        <v>46109</v>
      </c>
      <c r="B58" s="31" t="s">
        <v>21</v>
      </c>
      <c r="C58" s="32"/>
      <c r="D58" s="32"/>
      <c r="E58" s="32"/>
      <c r="F58" s="32"/>
      <c r="G58" s="33"/>
      <c r="H58" s="34">
        <f t="shared" si="3"/>
        <v>0</v>
      </c>
      <c r="I58" s="35"/>
      <c r="J58" s="35"/>
    </row>
    <row r="59" spans="1:10" x14ac:dyDescent="0.2">
      <c r="A59" s="31">
        <v>46110</v>
      </c>
      <c r="B59" s="31" t="s">
        <v>22</v>
      </c>
      <c r="C59" s="32"/>
      <c r="D59" s="32"/>
      <c r="E59" s="32"/>
      <c r="F59" s="32"/>
      <c r="G59" s="33"/>
      <c r="H59" s="34">
        <f t="shared" si="3"/>
        <v>0</v>
      </c>
      <c r="I59" s="35"/>
      <c r="J59" s="35"/>
    </row>
    <row r="60" spans="1:10" ht="15" customHeight="1" x14ac:dyDescent="0.2">
      <c r="A60" s="22">
        <v>46111</v>
      </c>
      <c r="B60" s="22" t="s">
        <v>23</v>
      </c>
      <c r="C60" s="27" t="s">
        <v>33</v>
      </c>
      <c r="D60" s="27"/>
      <c r="E60" s="27" t="s">
        <v>43</v>
      </c>
      <c r="F60" s="27" t="s">
        <v>35</v>
      </c>
      <c r="G60" s="28" t="s">
        <v>87</v>
      </c>
      <c r="H60" s="29">
        <f t="shared" si="3"/>
        <v>0.18750000000000006</v>
      </c>
      <c r="I60" s="30">
        <v>0.33333333333333331</v>
      </c>
      <c r="J60" s="30">
        <v>0.52083333333333337</v>
      </c>
    </row>
    <row r="61" spans="1:10" ht="25.2" x14ac:dyDescent="0.2">
      <c r="A61" s="22">
        <v>46111</v>
      </c>
      <c r="B61" s="22" t="s">
        <v>23</v>
      </c>
      <c r="C61" s="27" t="s">
        <v>33</v>
      </c>
      <c r="D61" s="27"/>
      <c r="E61" s="27" t="s">
        <v>43</v>
      </c>
      <c r="F61" s="27" t="s">
        <v>35</v>
      </c>
      <c r="G61" s="28" t="s">
        <v>88</v>
      </c>
      <c r="H61" s="29">
        <f>J61-I61</f>
        <v>0.14583333333333337</v>
      </c>
      <c r="I61" s="30">
        <v>0.56597222222222221</v>
      </c>
      <c r="J61" s="30">
        <v>0.71180555555555558</v>
      </c>
    </row>
    <row r="62" spans="1:10" ht="37.799999999999997" x14ac:dyDescent="0.2">
      <c r="A62" s="22">
        <v>46112</v>
      </c>
      <c r="B62" s="22" t="s">
        <v>24</v>
      </c>
      <c r="C62" s="27" t="s">
        <v>33</v>
      </c>
      <c r="D62" s="27"/>
      <c r="E62" s="27" t="s">
        <v>43</v>
      </c>
      <c r="F62" s="27" t="s">
        <v>35</v>
      </c>
      <c r="G62" s="28" t="s">
        <v>89</v>
      </c>
      <c r="H62" s="29">
        <f>J62-I62</f>
        <v>0.17916666666666664</v>
      </c>
      <c r="I62" s="30">
        <v>0.33333333333333331</v>
      </c>
      <c r="J62" s="30">
        <v>0.51249999999999996</v>
      </c>
    </row>
    <row r="63" spans="1:10" ht="25.2" x14ac:dyDescent="0.2">
      <c r="A63" s="22">
        <v>46112</v>
      </c>
      <c r="B63" s="22" t="s">
        <v>24</v>
      </c>
      <c r="C63" s="27" t="s">
        <v>33</v>
      </c>
      <c r="D63" s="27"/>
      <c r="E63" s="27" t="s">
        <v>43</v>
      </c>
      <c r="F63" s="27" t="s">
        <v>35</v>
      </c>
      <c r="G63" s="28" t="s">
        <v>90</v>
      </c>
      <c r="H63" s="29">
        <f t="shared" si="3"/>
        <v>0.17361111111111105</v>
      </c>
      <c r="I63" s="30">
        <v>0.55208333333333337</v>
      </c>
      <c r="J63" s="30">
        <v>0.72569444444444442</v>
      </c>
    </row>
    <row r="64" spans="1:10" ht="13.2" x14ac:dyDescent="0.25">
      <c r="A64" s="46"/>
      <c r="B64" s="46"/>
      <c r="C64" s="45"/>
      <c r="D64" s="45"/>
      <c r="E64" s="45"/>
      <c r="F64" s="45"/>
      <c r="G64" s="45"/>
      <c r="H64" s="36"/>
      <c r="I64" s="37"/>
    </row>
    <row r="65" spans="1:8" ht="13.2" x14ac:dyDescent="0.25">
      <c r="A65" s="4"/>
      <c r="B65" s="4"/>
      <c r="C65" s="5"/>
      <c r="D65" s="6"/>
      <c r="E65" s="7" t="s">
        <v>25</v>
      </c>
      <c r="F65" s="8">
        <f>F66*8</f>
        <v>176</v>
      </c>
      <c r="H65" s="40"/>
    </row>
    <row r="66" spans="1:8" ht="13.2" x14ac:dyDescent="0.25">
      <c r="A66" s="4"/>
      <c r="B66" s="4"/>
      <c r="C66" s="9"/>
      <c r="D66" s="2"/>
      <c r="E66" s="10" t="s">
        <v>26</v>
      </c>
      <c r="F66" s="11">
        <v>22</v>
      </c>
      <c r="H66" s="40"/>
    </row>
    <row r="67" spans="1:8" ht="13.8" x14ac:dyDescent="0.25">
      <c r="A67" s="116" t="s">
        <v>27</v>
      </c>
      <c r="B67" s="116"/>
      <c r="C67" s="116"/>
      <c r="D67" s="12"/>
      <c r="E67" s="2"/>
      <c r="F67" s="2"/>
      <c r="H67" s="40"/>
    </row>
    <row r="68" spans="1:8" ht="13.8" x14ac:dyDescent="0.25">
      <c r="A68" s="13"/>
      <c r="B68" s="13"/>
      <c r="C68" s="6"/>
      <c r="D68" s="6"/>
      <c r="E68" s="14" t="s">
        <v>28</v>
      </c>
      <c r="F68" s="15">
        <f>SUMIF(F9:F63,"Billable",H9:H63)</f>
        <v>0</v>
      </c>
      <c r="H68" s="38"/>
    </row>
    <row r="69" spans="1:8" ht="13.8" x14ac:dyDescent="0.25">
      <c r="A69" s="117" t="s">
        <v>29</v>
      </c>
      <c r="B69" s="117"/>
      <c r="C69" s="117"/>
      <c r="D69" s="16"/>
      <c r="E69" s="17" t="s">
        <v>30</v>
      </c>
      <c r="F69" s="18">
        <f>SUMIF(F9:F63,"Non-Billable",H9:H63)</f>
        <v>7.9194444444444443</v>
      </c>
      <c r="H69" s="40"/>
    </row>
    <row r="70" spans="1:8" ht="13.8" x14ac:dyDescent="0.25">
      <c r="A70" s="2"/>
      <c r="B70" s="2"/>
      <c r="C70" s="2"/>
      <c r="D70" s="2"/>
      <c r="E70" s="19" t="s">
        <v>31</v>
      </c>
      <c r="F70" s="44">
        <f>F68+F69</f>
        <v>7.9194444444444443</v>
      </c>
      <c r="H70" s="40"/>
    </row>
    <row r="71" spans="1:8" ht="13.2" x14ac:dyDescent="0.25">
      <c r="A71" s="2"/>
      <c r="B71" s="2"/>
      <c r="C71" s="2"/>
      <c r="D71" s="2"/>
      <c r="E71" s="2"/>
      <c r="F71" s="2"/>
      <c r="H71" s="40"/>
    </row>
    <row r="72" spans="1:8" ht="13.2" x14ac:dyDescent="0.25">
      <c r="A72" s="2"/>
      <c r="B72" s="2"/>
      <c r="C72" s="2"/>
      <c r="D72" s="2"/>
      <c r="E72" s="20" t="s">
        <v>32</v>
      </c>
      <c r="F72" s="21"/>
      <c r="H72" s="40"/>
    </row>
    <row r="73" spans="1:8" x14ac:dyDescent="0.2">
      <c r="E73" s="39"/>
      <c r="H73" s="40"/>
    </row>
  </sheetData>
  <mergeCells count="2">
    <mergeCell ref="A67:C67"/>
    <mergeCell ref="A69:C69"/>
  </mergeCells>
  <phoneticPr fontId="10" type="noConversion"/>
  <conditionalFormatting sqref="A6:B6 D6:E7 D64:E65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73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67:E69 E72">
    <cfRule type="containsText" dxfId="6" priority="1" operator="containsText" text="Religious Leave">
      <formula>NOT(ISERROR(SEARCH("Religious Leave",D67)))</formula>
    </cfRule>
    <cfRule type="containsText" dxfId="5" priority="2" operator="containsText" text="Birthday Leave">
      <formula>NOT(ISERROR(SEARCH("Birthday Leave",D67)))</formula>
    </cfRule>
    <cfRule type="containsText" dxfId="4" priority="3" operator="containsText" text="Study Leave">
      <formula>NOT(ISERROR(SEARCH("Study Leave",D67)))</formula>
    </cfRule>
    <cfRule type="containsText" dxfId="3" priority="4" operator="containsText" text="Family Responsibility Leave">
      <formula>NOT(ISERROR(SEARCH("Family Responsibility Leave",D67)))</formula>
    </cfRule>
    <cfRule type="containsText" dxfId="2" priority="5" operator="containsText" text="Sick Leave">
      <formula>NOT(ISERROR(SEARCH("Sick Leave",D67)))</formula>
    </cfRule>
    <cfRule type="containsText" dxfId="1" priority="6" operator="containsText" text="Annual Leave">
      <formula>NOT(ISERROR(SEARCH("Annual Leave",D67)))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25:J63 I9:J21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22:J24" xr:uid="{AE8D699F-251F-4C55-B5CB-EBA8D037FDCE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F58:F63 F45:F46 F33:F34 F9 F20:F21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C58:C63 C45:C46 C33:C34 C9 C20:C21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E58:E63 E45:E46 E33:E34 E9 E20:E21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15</v>
      </c>
      <c r="C5" s="87"/>
      <c r="D5" s="87"/>
      <c r="E5" s="87"/>
      <c r="F5" s="87"/>
    </row>
    <row r="6" spans="1:15" x14ac:dyDescent="0.2">
      <c r="A6" s="80" t="s">
        <v>91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23" t="s">
        <v>92</v>
      </c>
      <c r="B8" s="123"/>
      <c r="C8" s="123"/>
      <c r="D8" s="123"/>
      <c r="E8" s="123"/>
      <c r="F8" s="123"/>
    </row>
    <row r="9" spans="1:15" ht="13.5" customHeight="1" thickBot="1" x14ac:dyDescent="0.25">
      <c r="A9" s="83" t="s">
        <v>93</v>
      </c>
      <c r="B9" s="120" t="s">
        <v>94</v>
      </c>
      <c r="C9" s="121"/>
      <c r="D9" s="120" t="s">
        <v>95</v>
      </c>
      <c r="E9" s="121"/>
      <c r="F9" s="84" t="s">
        <v>96</v>
      </c>
    </row>
    <row r="10" spans="1:15" x14ac:dyDescent="0.2">
      <c r="A10" s="79"/>
      <c r="B10" s="122" t="s">
        <v>97</v>
      </c>
      <c r="C10" s="122"/>
      <c r="D10" s="122" t="s">
        <v>98</v>
      </c>
      <c r="E10" s="122"/>
      <c r="F10" s="78">
        <v>200</v>
      </c>
      <c r="G10" s="118" t="s">
        <v>99</v>
      </c>
      <c r="H10" s="119"/>
      <c r="I10" s="119"/>
      <c r="J10" s="119"/>
      <c r="K10" s="119"/>
      <c r="L10" s="119"/>
      <c r="M10" s="119"/>
      <c r="N10" s="119"/>
      <c r="O10" s="119"/>
    </row>
    <row r="11" spans="1:15" x14ac:dyDescent="0.2">
      <c r="A11" s="79"/>
      <c r="B11" s="124" t="s">
        <v>100</v>
      </c>
      <c r="C11" s="125"/>
      <c r="D11" s="122" t="s">
        <v>101</v>
      </c>
      <c r="E11" s="122"/>
      <c r="F11" s="78"/>
    </row>
    <row r="12" spans="1:15" x14ac:dyDescent="0.2">
      <c r="A12" s="79"/>
      <c r="B12" s="124" t="s">
        <v>102</v>
      </c>
      <c r="C12" s="125"/>
      <c r="D12" s="122"/>
      <c r="E12" s="122"/>
      <c r="F12" s="78"/>
    </row>
    <row r="13" spans="1:15" x14ac:dyDescent="0.2">
      <c r="A13" s="79"/>
      <c r="B13" s="124"/>
      <c r="C13" s="125"/>
      <c r="D13" s="122"/>
      <c r="E13" s="122"/>
      <c r="F13" s="78"/>
    </row>
    <row r="14" spans="1:15" x14ac:dyDescent="0.2">
      <c r="A14" s="79"/>
      <c r="B14" s="124"/>
      <c r="C14" s="125"/>
      <c r="D14" s="122"/>
      <c r="E14" s="122"/>
      <c r="F14" s="78"/>
    </row>
    <row r="15" spans="1:15" x14ac:dyDescent="0.2">
      <c r="A15" s="79"/>
      <c r="B15" s="129"/>
      <c r="C15" s="130"/>
      <c r="D15" s="122"/>
      <c r="E15" s="122"/>
      <c r="F15" s="78"/>
    </row>
    <row r="16" spans="1:15" ht="13.2" thickBot="1" x14ac:dyDescent="0.25">
      <c r="A16" s="79"/>
      <c r="B16" s="124"/>
      <c r="C16" s="125"/>
      <c r="D16" s="122"/>
      <c r="E16" s="122"/>
      <c r="F16" s="78"/>
    </row>
    <row r="17" spans="1:6" ht="13.5" customHeight="1" thickBot="1" x14ac:dyDescent="0.25">
      <c r="A17" s="126" t="s">
        <v>103</v>
      </c>
      <c r="B17" s="127"/>
      <c r="C17" s="127"/>
      <c r="D17" s="127"/>
      <c r="E17" s="128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1"/>
      <c r="B4" s="131"/>
    </row>
    <row r="5" spans="1:6" x14ac:dyDescent="0.2">
      <c r="A5" s="37" t="s">
        <v>0</v>
      </c>
      <c r="B5" s="23" t="s">
        <v>15</v>
      </c>
    </row>
    <row r="6" spans="1:6" x14ac:dyDescent="0.2">
      <c r="A6" s="80" t="s">
        <v>104</v>
      </c>
      <c r="B6" s="80"/>
    </row>
    <row r="7" spans="1:6" x14ac:dyDescent="0.2">
      <c r="A7" s="96" t="s">
        <v>105</v>
      </c>
      <c r="B7" s="96"/>
    </row>
    <row r="8" spans="1:6" x14ac:dyDescent="0.2">
      <c r="A8" s="97"/>
      <c r="B8" s="86"/>
    </row>
    <row r="9" spans="1:6" ht="27.45" customHeight="1" x14ac:dyDescent="0.2">
      <c r="A9" s="144" t="s">
        <v>106</v>
      </c>
      <c r="B9" s="144"/>
      <c r="C9" s="144"/>
      <c r="D9" s="144"/>
      <c r="E9" s="144"/>
      <c r="F9" s="144"/>
    </row>
    <row r="10" spans="1:6" ht="25.2" x14ac:dyDescent="0.2">
      <c r="A10" s="88" t="s">
        <v>107</v>
      </c>
      <c r="B10" s="88" t="s">
        <v>108</v>
      </c>
      <c r="C10" s="88" t="s">
        <v>109</v>
      </c>
      <c r="D10" s="88" t="s">
        <v>110</v>
      </c>
      <c r="E10" s="88" t="s">
        <v>111</v>
      </c>
      <c r="F10" s="88" t="s">
        <v>112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5"/>
      <c r="B15" s="136"/>
      <c r="C15" s="136"/>
      <c r="D15" s="136"/>
      <c r="E15" s="136"/>
      <c r="F15" s="136"/>
    </row>
    <row r="16" spans="1:6" x14ac:dyDescent="0.2">
      <c r="A16" s="145" t="s">
        <v>113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2" thickBot="1" x14ac:dyDescent="0.25">
      <c r="A19" s="135"/>
      <c r="B19" s="136"/>
      <c r="C19" s="136"/>
      <c r="D19" s="136"/>
      <c r="E19" s="136"/>
      <c r="F19" s="137"/>
    </row>
    <row r="20" spans="1:6" ht="13.2" thickBot="1" x14ac:dyDescent="0.25"/>
    <row r="21" spans="1:6" x14ac:dyDescent="0.2">
      <c r="A21" s="93" t="s">
        <v>3</v>
      </c>
      <c r="B21" s="138"/>
      <c r="C21" s="138"/>
      <c r="D21" s="138"/>
      <c r="E21" s="138"/>
      <c r="F21" s="139"/>
    </row>
    <row r="22" spans="1:6" x14ac:dyDescent="0.2">
      <c r="A22" s="94" t="s">
        <v>114</v>
      </c>
      <c r="B22" s="140"/>
      <c r="C22" s="140"/>
      <c r="D22" s="140"/>
      <c r="E22" s="140"/>
      <c r="F22" s="141"/>
    </row>
    <row r="23" spans="1:6" ht="13.2" thickBot="1" x14ac:dyDescent="0.25">
      <c r="A23" s="95" t="s">
        <v>115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workbookViewId="0">
      <selection activeCell="H4" sqref="H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0" ht="15" thickBot="1" x14ac:dyDescent="0.35">
      <c r="B2" s="66" t="s">
        <v>33</v>
      </c>
      <c r="D2" s="53" t="s">
        <v>116</v>
      </c>
      <c r="F2" s="52" t="s">
        <v>7</v>
      </c>
      <c r="H2" s="52" t="s">
        <v>117</v>
      </c>
      <c r="J2" s="53" t="s">
        <v>17</v>
      </c>
    </row>
    <row r="3" spans="2:10" x14ac:dyDescent="0.3">
      <c r="B3" s="66" t="s">
        <v>118</v>
      </c>
      <c r="D3" s="72" t="s">
        <v>119</v>
      </c>
      <c r="F3" s="55" t="s">
        <v>16</v>
      </c>
      <c r="H3" s="98" t="s">
        <v>40</v>
      </c>
      <c r="J3" s="56" t="s">
        <v>35</v>
      </c>
    </row>
    <row r="4" spans="2:10" x14ac:dyDescent="0.3">
      <c r="B4" s="66" t="s">
        <v>120</v>
      </c>
      <c r="D4" s="54" t="s">
        <v>121</v>
      </c>
      <c r="F4" s="57" t="s">
        <v>122</v>
      </c>
      <c r="H4" s="68" t="s">
        <v>123</v>
      </c>
      <c r="J4" s="58" t="s">
        <v>17</v>
      </c>
    </row>
    <row r="5" spans="2:10" x14ac:dyDescent="0.3">
      <c r="B5" s="66" t="s">
        <v>124</v>
      </c>
      <c r="D5" s="72" t="s">
        <v>125</v>
      </c>
      <c r="F5" s="59" t="s">
        <v>126</v>
      </c>
      <c r="H5" s="99" t="s">
        <v>127</v>
      </c>
    </row>
    <row r="6" spans="2:10" x14ac:dyDescent="0.3">
      <c r="B6" s="66" t="s">
        <v>128</v>
      </c>
      <c r="D6" s="54" t="s">
        <v>129</v>
      </c>
      <c r="F6" s="57" t="s">
        <v>130</v>
      </c>
      <c r="H6" s="100" t="s">
        <v>131</v>
      </c>
    </row>
    <row r="7" spans="2:10" x14ac:dyDescent="0.3">
      <c r="B7" s="66" t="s">
        <v>132</v>
      </c>
      <c r="D7" s="72" t="s">
        <v>133</v>
      </c>
      <c r="F7" s="59" t="s">
        <v>43</v>
      </c>
      <c r="H7" s="68" t="s">
        <v>134</v>
      </c>
    </row>
    <row r="8" spans="2:10" x14ac:dyDescent="0.3">
      <c r="B8" s="66" t="s">
        <v>135</v>
      </c>
      <c r="D8" s="54" t="s">
        <v>136</v>
      </c>
      <c r="F8" s="57" t="s">
        <v>137</v>
      </c>
      <c r="H8" s="98" t="s">
        <v>138</v>
      </c>
      <c r="J8" s="52" t="s">
        <v>139</v>
      </c>
    </row>
    <row r="9" spans="2:10" x14ac:dyDescent="0.3">
      <c r="B9" s="66" t="s">
        <v>140</v>
      </c>
      <c r="D9" s="72" t="s">
        <v>141</v>
      </c>
      <c r="F9" s="59" t="s">
        <v>142</v>
      </c>
      <c r="H9" s="67" t="s">
        <v>143</v>
      </c>
      <c r="J9" s="52" t="s">
        <v>98</v>
      </c>
    </row>
    <row r="10" spans="2:10" x14ac:dyDescent="0.3">
      <c r="B10" s="66" t="s">
        <v>144</v>
      </c>
      <c r="D10" s="54" t="s">
        <v>145</v>
      </c>
      <c r="F10" s="57" t="s">
        <v>146</v>
      </c>
      <c r="H10" s="101" t="s">
        <v>147</v>
      </c>
    </row>
    <row r="11" spans="2:10" x14ac:dyDescent="0.3">
      <c r="B11" s="66" t="s">
        <v>148</v>
      </c>
      <c r="D11" s="72" t="s">
        <v>149</v>
      </c>
      <c r="F11" s="59" t="s">
        <v>150</v>
      </c>
      <c r="H11" s="68" t="s">
        <v>151</v>
      </c>
      <c r="J11" s="52" t="s">
        <v>152</v>
      </c>
    </row>
    <row r="12" spans="2:10" x14ac:dyDescent="0.3">
      <c r="B12" s="66" t="s">
        <v>153</v>
      </c>
      <c r="F12" s="57" t="s">
        <v>154</v>
      </c>
      <c r="H12" s="102" t="s">
        <v>155</v>
      </c>
      <c r="J12" s="52" t="s">
        <v>156</v>
      </c>
    </row>
    <row r="13" spans="2:10" x14ac:dyDescent="0.3">
      <c r="B13" s="66" t="s">
        <v>157</v>
      </c>
      <c r="F13" s="59" t="s">
        <v>158</v>
      </c>
      <c r="H13" s="102" t="s">
        <v>159</v>
      </c>
    </row>
    <row r="14" spans="2:10" x14ac:dyDescent="0.3">
      <c r="B14" s="66" t="s">
        <v>160</v>
      </c>
      <c r="D14" s="60"/>
      <c r="F14" s="57" t="s">
        <v>161</v>
      </c>
      <c r="H14" s="103" t="s">
        <v>162</v>
      </c>
    </row>
    <row r="15" spans="2:10" x14ac:dyDescent="0.3">
      <c r="B15" s="66" t="s">
        <v>163</v>
      </c>
      <c r="D15" s="61"/>
      <c r="F15" s="59" t="s">
        <v>164</v>
      </c>
      <c r="H15" s="102" t="s">
        <v>165</v>
      </c>
    </row>
    <row r="16" spans="2:10" x14ac:dyDescent="0.3">
      <c r="B16" s="66" t="s">
        <v>166</v>
      </c>
      <c r="D16" s="61"/>
      <c r="F16" s="57" t="s">
        <v>167</v>
      </c>
      <c r="H16" s="104" t="s">
        <v>168</v>
      </c>
    </row>
    <row r="17" spans="2:8" ht="27.6" x14ac:dyDescent="0.3">
      <c r="B17" s="66" t="s">
        <v>169</v>
      </c>
      <c r="D17" s="61"/>
      <c r="F17" s="59" t="s">
        <v>170</v>
      </c>
      <c r="H17" s="102" t="s">
        <v>171</v>
      </c>
    </row>
    <row r="18" spans="2:8" x14ac:dyDescent="0.3">
      <c r="B18" s="66" t="s">
        <v>172</v>
      </c>
      <c r="D18" s="61"/>
      <c r="F18" s="57" t="s">
        <v>173</v>
      </c>
      <c r="H18" s="104" t="s">
        <v>174</v>
      </c>
    </row>
    <row r="19" spans="2:8" x14ac:dyDescent="0.3">
      <c r="B19" s="66" t="s">
        <v>175</v>
      </c>
      <c r="D19" s="61"/>
      <c r="F19" s="59" t="s">
        <v>41</v>
      </c>
      <c r="H19" s="105" t="s">
        <v>176</v>
      </c>
    </row>
    <row r="20" spans="2:8" x14ac:dyDescent="0.3">
      <c r="B20" s="66" t="s">
        <v>177</v>
      </c>
      <c r="D20" s="61"/>
      <c r="F20" s="57" t="s">
        <v>178</v>
      </c>
      <c r="H20" s="103" t="s">
        <v>179</v>
      </c>
    </row>
    <row r="21" spans="2:8" x14ac:dyDescent="0.3">
      <c r="B21" s="66" t="s">
        <v>180</v>
      </c>
      <c r="D21" s="61"/>
      <c r="F21" s="59" t="s">
        <v>181</v>
      </c>
      <c r="H21" s="68" t="s">
        <v>182</v>
      </c>
    </row>
    <row r="22" spans="2:8" x14ac:dyDescent="0.3">
      <c r="B22" s="66" t="s">
        <v>183</v>
      </c>
      <c r="D22" s="61"/>
      <c r="F22" s="57" t="s">
        <v>184</v>
      </c>
      <c r="H22" s="106" t="s">
        <v>185</v>
      </c>
    </row>
    <row r="23" spans="2:8" x14ac:dyDescent="0.3">
      <c r="B23" s="66" t="s">
        <v>186</v>
      </c>
      <c r="D23" s="61"/>
      <c r="F23" s="59" t="s">
        <v>187</v>
      </c>
      <c r="H23" s="107" t="s">
        <v>188</v>
      </c>
    </row>
    <row r="24" spans="2:8" x14ac:dyDescent="0.3">
      <c r="B24" s="66" t="s">
        <v>189</v>
      </c>
      <c r="D24" s="61"/>
      <c r="F24" s="57" t="s">
        <v>190</v>
      </c>
      <c r="H24" s="108" t="s">
        <v>191</v>
      </c>
    </row>
    <row r="25" spans="2:8" x14ac:dyDescent="0.3">
      <c r="B25" s="66" t="s">
        <v>192</v>
      </c>
      <c r="D25" s="61"/>
      <c r="F25" s="59" t="s">
        <v>193</v>
      </c>
      <c r="H25" s="109" t="s">
        <v>15</v>
      </c>
    </row>
    <row r="26" spans="2:8" x14ac:dyDescent="0.3">
      <c r="B26" s="66" t="s">
        <v>194</v>
      </c>
      <c r="F26" s="57" t="s">
        <v>195</v>
      </c>
      <c r="H26" s="70" t="s">
        <v>196</v>
      </c>
    </row>
    <row r="27" spans="2:8" x14ac:dyDescent="0.3">
      <c r="B27" s="66" t="s">
        <v>197</v>
      </c>
      <c r="D27" s="61"/>
      <c r="F27" s="59" t="s">
        <v>198</v>
      </c>
      <c r="H27" s="107" t="s">
        <v>199</v>
      </c>
    </row>
    <row r="28" spans="2:8" x14ac:dyDescent="0.3">
      <c r="B28" s="66" t="s">
        <v>200</v>
      </c>
      <c r="D28" s="61"/>
      <c r="F28" s="57" t="s">
        <v>54</v>
      </c>
      <c r="H28" s="70" t="s">
        <v>201</v>
      </c>
    </row>
    <row r="29" spans="2:8" x14ac:dyDescent="0.3">
      <c r="B29" s="66" t="s">
        <v>202</v>
      </c>
      <c r="F29" s="59" t="s">
        <v>203</v>
      </c>
      <c r="H29" s="110" t="s">
        <v>204</v>
      </c>
    </row>
    <row r="30" spans="2:8" x14ac:dyDescent="0.3">
      <c r="B30" s="66" t="s">
        <v>205</v>
      </c>
      <c r="F30" s="57" t="s">
        <v>206</v>
      </c>
      <c r="H30" s="108" t="s">
        <v>207</v>
      </c>
    </row>
    <row r="31" spans="2:8" x14ac:dyDescent="0.3">
      <c r="B31" s="66" t="s">
        <v>208</v>
      </c>
      <c r="F31" s="59" t="s">
        <v>209</v>
      </c>
      <c r="H31" s="111" t="s">
        <v>210</v>
      </c>
    </row>
    <row r="32" spans="2:8" x14ac:dyDescent="0.3">
      <c r="B32" s="66" t="s">
        <v>211</v>
      </c>
      <c r="F32" s="57" t="s">
        <v>212</v>
      </c>
      <c r="H32" s="109" t="s">
        <v>213</v>
      </c>
    </row>
    <row r="33" spans="2:8" x14ac:dyDescent="0.3">
      <c r="B33" s="66" t="s">
        <v>214</v>
      </c>
      <c r="F33" s="59" t="s">
        <v>215</v>
      </c>
      <c r="H33" s="69" t="s">
        <v>216</v>
      </c>
    </row>
    <row r="34" spans="2:8" x14ac:dyDescent="0.3">
      <c r="B34" s="66" t="s">
        <v>217</v>
      </c>
      <c r="F34" s="57" t="s">
        <v>218</v>
      </c>
      <c r="H34" s="69" t="s">
        <v>219</v>
      </c>
    </row>
    <row r="35" spans="2:8" x14ac:dyDescent="0.3">
      <c r="B35" s="66" t="s">
        <v>220</v>
      </c>
      <c r="F35" s="59" t="s">
        <v>221</v>
      </c>
      <c r="H35" s="110" t="s">
        <v>222</v>
      </c>
    </row>
    <row r="36" spans="2:8" x14ac:dyDescent="0.3">
      <c r="B36" s="66" t="s">
        <v>223</v>
      </c>
      <c r="F36" s="57" t="s">
        <v>224</v>
      </c>
      <c r="H36" s="101" t="s">
        <v>225</v>
      </c>
    </row>
    <row r="37" spans="2:8" x14ac:dyDescent="0.3">
      <c r="B37" s="66" t="s">
        <v>226</v>
      </c>
      <c r="F37" s="57" t="s">
        <v>227</v>
      </c>
      <c r="H37" s="69" t="s">
        <v>228</v>
      </c>
    </row>
    <row r="38" spans="2:8" x14ac:dyDescent="0.3">
      <c r="B38" s="66" t="s">
        <v>229</v>
      </c>
      <c r="F38" s="57" t="s">
        <v>34</v>
      </c>
      <c r="H38" s="108" t="s">
        <v>230</v>
      </c>
    </row>
    <row r="39" spans="2:8" x14ac:dyDescent="0.3">
      <c r="B39" s="52" t="s">
        <v>231</v>
      </c>
      <c r="F39" s="57" t="s">
        <v>232</v>
      </c>
      <c r="H39" s="110" t="s">
        <v>233</v>
      </c>
    </row>
    <row r="40" spans="2:8" x14ac:dyDescent="0.3">
      <c r="B40" s="66" t="s">
        <v>234</v>
      </c>
      <c r="F40" s="115" t="s">
        <v>235</v>
      </c>
      <c r="H40" s="111" t="s">
        <v>236</v>
      </c>
    </row>
    <row r="41" spans="2:8" x14ac:dyDescent="0.3">
      <c r="B41" s="66" t="s">
        <v>237</v>
      </c>
      <c r="D41" s="63"/>
      <c r="H41" s="70" t="s">
        <v>238</v>
      </c>
    </row>
    <row r="42" spans="2:8" x14ac:dyDescent="0.3">
      <c r="B42" s="66" t="s">
        <v>239</v>
      </c>
      <c r="H42" s="108" t="s">
        <v>240</v>
      </c>
    </row>
    <row r="43" spans="2:8" x14ac:dyDescent="0.3">
      <c r="B43" s="52" t="s">
        <v>14</v>
      </c>
      <c r="H43" s="110" t="s">
        <v>241</v>
      </c>
    </row>
    <row r="44" spans="2:8" ht="27.6" x14ac:dyDescent="0.3">
      <c r="B44" s="62"/>
      <c r="H44" s="108" t="s">
        <v>242</v>
      </c>
    </row>
    <row r="45" spans="2:8" x14ac:dyDescent="0.3">
      <c r="H45" s="69" t="s">
        <v>243</v>
      </c>
    </row>
    <row r="46" spans="2:8" x14ac:dyDescent="0.3">
      <c r="H46" s="112" t="s">
        <v>244</v>
      </c>
    </row>
    <row r="47" spans="2:8" x14ac:dyDescent="0.3">
      <c r="B47" s="62"/>
      <c r="H47" s="111" t="s">
        <v>245</v>
      </c>
    </row>
    <row r="48" spans="2:8" x14ac:dyDescent="0.3">
      <c r="H48" s="113" t="s">
        <v>246</v>
      </c>
    </row>
    <row r="49" spans="8:8" x14ac:dyDescent="0.3">
      <c r="H49" s="99" t="s">
        <v>247</v>
      </c>
    </row>
    <row r="50" spans="8:8" x14ac:dyDescent="0.3">
      <c r="H50" s="106" t="s">
        <v>248</v>
      </c>
    </row>
    <row r="51" spans="8:8" x14ac:dyDescent="0.3">
      <c r="H51" s="110" t="s">
        <v>249</v>
      </c>
    </row>
    <row r="52" spans="8:8" x14ac:dyDescent="0.3">
      <c r="H52" s="70" t="s">
        <v>250</v>
      </c>
    </row>
    <row r="53" spans="8:8" x14ac:dyDescent="0.3">
      <c r="H53" s="70" t="s">
        <v>1</v>
      </c>
    </row>
    <row r="54" spans="8:8" x14ac:dyDescent="0.3">
      <c r="H54" s="111" t="s">
        <v>251</v>
      </c>
    </row>
    <row r="55" spans="8:8" x14ac:dyDescent="0.3">
      <c r="H55" s="70" t="s">
        <v>252</v>
      </c>
    </row>
    <row r="56" spans="8:8" x14ac:dyDescent="0.3">
      <c r="H56" s="111" t="s">
        <v>253</v>
      </c>
    </row>
    <row r="57" spans="8:8" x14ac:dyDescent="0.3">
      <c r="H57" s="70" t="s">
        <v>254</v>
      </c>
    </row>
    <row r="58" spans="8:8" x14ac:dyDescent="0.3">
      <c r="H58" s="111" t="s">
        <v>255</v>
      </c>
    </row>
    <row r="59" spans="8:8" x14ac:dyDescent="0.3">
      <c r="H59" s="69" t="s">
        <v>256</v>
      </c>
    </row>
    <row r="60" spans="8:8" x14ac:dyDescent="0.3">
      <c r="H60" s="111" t="s">
        <v>257</v>
      </c>
    </row>
    <row r="61" spans="8:8" x14ac:dyDescent="0.3">
      <c r="H61" s="69" t="s">
        <v>258</v>
      </c>
    </row>
    <row r="62" spans="8:8" x14ac:dyDescent="0.3">
      <c r="H62" s="110" t="s">
        <v>259</v>
      </c>
    </row>
    <row r="63" spans="8:8" x14ac:dyDescent="0.3">
      <c r="H63" s="108" t="s">
        <v>260</v>
      </c>
    </row>
    <row r="64" spans="8:8" x14ac:dyDescent="0.3">
      <c r="H64" s="70" t="s">
        <v>261</v>
      </c>
    </row>
    <row r="65" spans="8:8" x14ac:dyDescent="0.3">
      <c r="H65" s="111" t="s">
        <v>262</v>
      </c>
    </row>
    <row r="66" spans="8:8" x14ac:dyDescent="0.3">
      <c r="H66" s="110" t="s">
        <v>263</v>
      </c>
    </row>
    <row r="67" spans="8:8" x14ac:dyDescent="0.3">
      <c r="H67" s="108" t="s">
        <v>264</v>
      </c>
    </row>
    <row r="68" spans="8:8" x14ac:dyDescent="0.3">
      <c r="H68" s="70" t="s">
        <v>265</v>
      </c>
    </row>
    <row r="69" spans="8:8" x14ac:dyDescent="0.3">
      <c r="H69" s="70" t="s">
        <v>266</v>
      </c>
    </row>
    <row r="70" spans="8:8" x14ac:dyDescent="0.3">
      <c r="H70" s="111" t="s">
        <v>267</v>
      </c>
    </row>
    <row r="71" spans="8:8" x14ac:dyDescent="0.3">
      <c r="H71" s="114" t="s">
        <v>268</v>
      </c>
    </row>
    <row r="72" spans="8:8" x14ac:dyDescent="0.3">
      <c r="H72" s="69" t="s">
        <v>269</v>
      </c>
    </row>
    <row r="73" spans="8:8" x14ac:dyDescent="0.3">
      <c r="H73" s="109" t="s">
        <v>270</v>
      </c>
    </row>
    <row r="74" spans="8:8" x14ac:dyDescent="0.3">
      <c r="H74" s="69" t="s">
        <v>271</v>
      </c>
    </row>
    <row r="75" spans="8:8" x14ac:dyDescent="0.3">
      <c r="H75" s="109" t="s">
        <v>272</v>
      </c>
    </row>
    <row r="76" spans="8:8" x14ac:dyDescent="0.3">
      <c r="H76" s="70" t="s">
        <v>273</v>
      </c>
    </row>
    <row r="77" spans="8:8" x14ac:dyDescent="0.3">
      <c r="H77" s="71" t="s">
        <v>274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75BA6D-7F73-4EF9-A999-8384A4D1B9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F9ADBEE-CE14-4AD5-B846-618264F5C1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37CC7-571C-424E-98D0-A6D854FCD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2026-06-22T10:02:59Z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