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Kayden\"/>
    </mc:Choice>
  </mc:AlternateContent>
  <xr:revisionPtr revIDLastSave="0" documentId="13_ncr:1_{BE22A852-02BD-4802-882D-C23E89EA1D8E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0" l="1"/>
  <c r="H36" i="10"/>
  <c r="H35" i="10"/>
  <c r="H34" i="10"/>
  <c r="H33" i="10"/>
  <c r="H32" i="10"/>
  <c r="H31" i="10"/>
  <c r="H30" i="10"/>
  <c r="H29" i="10"/>
  <c r="H27" i="10"/>
  <c r="H23" i="10"/>
  <c r="H21" i="10"/>
  <c r="H19" i="10"/>
  <c r="H17" i="10"/>
  <c r="H11" i="10"/>
  <c r="H9" i="10"/>
  <c r="H50" i="10"/>
  <c r="H49" i="10"/>
  <c r="H48" i="10"/>
  <c r="H46" i="10"/>
  <c r="H44" i="10"/>
  <c r="H42" i="10"/>
  <c r="H9" i="6" l="1"/>
  <c r="H11" i="5"/>
  <c r="H9" i="3"/>
  <c r="F67" i="10"/>
  <c r="H13" i="10"/>
  <c r="H16" i="10"/>
  <c r="H14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53" i="10" l="1"/>
  <c r="H52" i="10"/>
  <c r="H51" i="10"/>
  <c r="H47" i="10"/>
  <c r="H45" i="10"/>
  <c r="H43" i="10"/>
  <c r="H41" i="10"/>
  <c r="H39" i="10"/>
  <c r="H38" i="10"/>
  <c r="H37" i="10"/>
  <c r="H26" i="10"/>
  <c r="H25" i="10"/>
  <c r="H15" i="10"/>
  <c r="H31" i="3"/>
  <c r="F68" i="10" l="1"/>
  <c r="F6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<sst xmlns="http://schemas.openxmlformats.org/spreadsheetml/2006/main" count="743" uniqueCount="252">
  <si>
    <t>Consultant</t>
  </si>
  <si>
    <t xml:space="preserve">Kayden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</si>
  <si>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</si>
  <si>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</si>
  <si>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</si>
  <si>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</si>
  <si>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</si>
  <si>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</si>
  <si>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</si>
  <si>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</si>
  <si>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</si>
  <si>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</si>
  <si>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</si>
  <si>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</si>
  <si>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</si>
  <si>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</si>
  <si>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</si>
  <si>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Attended morning Daily stand-up
Continued with Excel course.
Documented on confluence about excel and pushed to github.
Attended Mid-day check-in.</t>
  </si>
  <si>
    <t>Continued with the excel coarse.
Attended High Performers Retrospective Meeting.</t>
  </si>
  <si>
    <t>Thursday</t>
  </si>
  <si>
    <t>Attended morning Daily stand-up
Continued with Excel course.
Documented on confluence about excel and pushed to github.
Started with the Python course. 
Attended Mid-day check-in.</t>
  </si>
  <si>
    <t>Continued with Python.
Attended High Performers Retrospective Meeting.</t>
  </si>
  <si>
    <t>Friday</t>
  </si>
  <si>
    <t>Public Holiday</t>
  </si>
  <si>
    <t>Saturday</t>
  </si>
  <si>
    <t>Sunday</t>
  </si>
  <si>
    <t>Monday</t>
  </si>
  <si>
    <t>Family Day</t>
  </si>
  <si>
    <t>Tuesday</t>
  </si>
  <si>
    <t>Attended Daily Standup.
Continued with Python. Documented and pushed to github.
Attended Mid-day check-in</t>
  </si>
  <si>
    <t>Started with Github actions Course.
Attended High Performers Retrospective Meeting.</t>
  </si>
  <si>
    <t>Attended Daily Standup.
Continued with Github action course, Documented aswell.
Attended Mid-day check-in</t>
  </si>
  <si>
    <t>Attended Daily Standup.
Started Day 1 of the project Given by Bongani and Clement, that was Environment setup. Documented and pushed to github.
Attended Mid-day check-in.</t>
  </si>
  <si>
    <t>Continued with day one of the project,
and I finished it before the end of the day. 
I attended High Performers Retrospective meeting.</t>
  </si>
  <si>
    <t>Attended Daily Standup.
Started Day 2 of the project, that is python cleaning. Documented and pushed to github.
Attended Mid-day check-in.
I attended Shaila and Grad monthly check up.</t>
  </si>
  <si>
    <t>Meeting</t>
  </si>
  <si>
    <t>Continued with day two of the project,
and I finished it before the end of the day. 
I attended High Performers Retrospective meeting.</t>
  </si>
  <si>
    <t>Attended Daily Standup.
Started Day 3 of the project, I did Data transformation and aggregation. Documented and pushed to github.
Attended Mid-day check-in.</t>
  </si>
  <si>
    <t xml:space="preserve">Continued with day Three of the project,
and I finished it before the end of the day. 
I attended High Performers Retrospective meeting. </t>
  </si>
  <si>
    <t>Attended Daily Standup.
Started Day 4 of the project, Excel Pivot tables and refining the python script. Documented and pushed to github.
Attended Mid-day check-in.</t>
  </si>
  <si>
    <t>Continued with day four of the project,
and I finished it before the end of the day. 
I attended High Performers Retrospective meeting.</t>
  </si>
  <si>
    <t>Attended Daily Standup.
Started Day 5 of the project, Started creating the dashboardf and testing my python script to work out the averages. Documented and pushed to github.
Attended Mid-day check-in.</t>
  </si>
  <si>
    <t>Continued with day Five of the project,
and I finished it before the end of the day. 
I attended High Performers Retrospective meeting.</t>
  </si>
  <si>
    <t>Attended Daily Standup.
Finished the report for Our Project.
Presented my work to clement.
Attended Mid-day check-in.</t>
  </si>
  <si>
    <t xml:space="preserve">Continued with github action course. 
I attended High Performers Retrospective meeting. </t>
  </si>
  <si>
    <t>Attended Daily Standup.
Continued with github actions coarse.
Attended Mid-day check-in.</t>
  </si>
  <si>
    <t>Continued with github action course.</t>
  </si>
  <si>
    <t>Attended a short meeting with my team to discuss our presentation.</t>
  </si>
  <si>
    <t xml:space="preserve">Continued with github action course. 
Started practicing my presentation for the project.
I attended High Performers Retrospective meeting. </t>
  </si>
  <si>
    <t xml:space="preserve">Freedom Day </t>
  </si>
  <si>
    <t>4/28/2026</t>
  </si>
  <si>
    <t>Continued with Github Actions course and worked on it till the Midday Meeting where we completed presenting it.</t>
  </si>
  <si>
    <t>Continued and Completed GitHub Actions course. Practiced our presentation as a group. Retrospective meeting we discussed and viewed presentation.</t>
  </si>
  <si>
    <t>4/29/2026</t>
  </si>
  <si>
    <t>Given a new course to complete.Worked on the SQL course. Met with group to change things slightly with presentation and then practiced.</t>
  </si>
  <si>
    <t>Continued with the SQL Course assigned to us. Retrospective meeting we practiced our presentation and got a few last minute tips.</t>
  </si>
  <si>
    <t>4/30/2026</t>
  </si>
  <si>
    <t>Continued with the SQL course. We presented our presentation of the project to Clement.</t>
  </si>
  <si>
    <t>Practiced our presentation one more time before presenting to Management.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</si>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</sst>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2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0"/>
      <color rgb="FF0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21" fillId="0" borderId="6" xfId="0" applyFont="1" applyBorder="1"/>
    <xf numFmtId="0" fontId="21" fillId="0" borderId="6" xfId="0" applyFont="1" applyBorder="1" applyAlignment="1">
      <alignment wrapText="1"/>
    </xf>
    <xf numFmtId="20" fontId="21" fillId="0" borderId="6" xfId="0" applyNumberFormat="1" applyFont="1" applyBorder="1"/>
    <xf numFmtId="20" fontId="21" fillId="0" borderId="6" xfId="0" applyNumberFormat="1" applyFont="1" applyBorder="1" applyAlignment="1">
      <alignment wrapText="1"/>
    </xf>
    <xf numFmtId="0" fontId="21" fillId="0" borderId="0" xfId="0" applyFont="1"/>
    <xf numFmtId="0" fontId="21" fillId="0" borderId="0" xfId="0" applyFont="1" applyAlignment="1">
      <alignment wrapText="1"/>
    </xf>
    <xf numFmtId="20" fontId="21" fillId="0" borderId="0" xfId="0" applyNumberFormat="1" applyFont="1"/>
    <xf numFmtId="20" fontId="21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72"/>
  <sheetViews>
    <sheetView tabSelected="1" view="pageBreakPreview" topLeftCell="A40" zoomScale="75" zoomScaleNormal="75" zoomScaleSheetLayoutView="75" workbookViewId="0">
      <selection activeCell="G46" sqref="G4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2">
        <f>F67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63" x14ac:dyDescent="0.2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0.18750000000000006</v>
      </c>
      <c r="I9" s="30">
        <v>0.33333333333333331</v>
      </c>
      <c r="J9" s="30">
        <v>0.52083333333333337</v>
      </c>
    </row>
    <row r="10" spans="1:10" ht="37.799999999999997" x14ac:dyDescent="0.2">
      <c r="A10" s="22">
        <v>46113</v>
      </c>
      <c r="B10" s="22" t="s">
        <v>13</v>
      </c>
      <c r="C10" s="27" t="s">
        <v>14</v>
      </c>
      <c r="D10" s="27"/>
      <c r="E10" s="27" t="s">
        <v>15</v>
      </c>
      <c r="F10" s="27" t="s">
        <v>16</v>
      </c>
      <c r="G10" s="28" t="s">
        <v>18</v>
      </c>
      <c r="H10" s="29">
        <v>0.18541666666666667</v>
      </c>
      <c r="I10" s="30">
        <v>0.56041666666666667</v>
      </c>
      <c r="J10" s="30">
        <v>0.74583333333333335</v>
      </c>
    </row>
    <row r="11" spans="1:10" ht="75.599999999999994" x14ac:dyDescent="0.2">
      <c r="A11" s="22">
        <v>46114</v>
      </c>
      <c r="B11" s="22" t="s">
        <v>19</v>
      </c>
      <c r="C11" s="27" t="s">
        <v>14</v>
      </c>
      <c r="D11" s="27"/>
      <c r="E11" s="27" t="s">
        <v>15</v>
      </c>
      <c r="F11" s="27" t="s">
        <v>16</v>
      </c>
      <c r="G11" s="28" t="s">
        <v>20</v>
      </c>
      <c r="H11" s="29">
        <f t="shared" ref="H11" si="0">J11-I11</f>
        <v>0.20208333333333334</v>
      </c>
      <c r="I11" s="30">
        <v>0.33333333333333331</v>
      </c>
      <c r="J11" s="30">
        <v>0.53541666666666665</v>
      </c>
    </row>
    <row r="12" spans="1:10" ht="37.799999999999997" x14ac:dyDescent="0.2">
      <c r="A12" s="22">
        <v>46114</v>
      </c>
      <c r="B12" s="22" t="s">
        <v>19</v>
      </c>
      <c r="C12" s="27" t="s">
        <v>14</v>
      </c>
      <c r="D12" s="27"/>
      <c r="E12" s="27" t="s">
        <v>15</v>
      </c>
      <c r="F12" s="27" t="s">
        <v>16</v>
      </c>
      <c r="G12" s="28" t="s">
        <v>21</v>
      </c>
      <c r="H12" s="29">
        <v>0.14166666666666666</v>
      </c>
      <c r="I12" s="30">
        <v>0.5756944444444444</v>
      </c>
      <c r="J12" s="30">
        <v>0.71736111111111112</v>
      </c>
    </row>
    <row r="13" spans="1:10" x14ac:dyDescent="0.2">
      <c r="A13" s="47">
        <v>46115</v>
      </c>
      <c r="B13" s="47" t="s">
        <v>22</v>
      </c>
      <c r="C13" s="48" t="s">
        <v>14</v>
      </c>
      <c r="D13" s="48"/>
      <c r="E13" s="48" t="s">
        <v>23</v>
      </c>
      <c r="F13" s="48" t="s">
        <v>16</v>
      </c>
      <c r="G13" s="49"/>
      <c r="H13" s="50">
        <f t="shared" ref="H13:H53" si="1">J13-I13</f>
        <v>0.33333333333333331</v>
      </c>
      <c r="I13" s="51">
        <v>0.33333333333333331</v>
      </c>
      <c r="J13" s="51">
        <v>0.66666666666666663</v>
      </c>
    </row>
    <row r="14" spans="1:10" x14ac:dyDescent="0.2">
      <c r="A14" s="31">
        <v>46116</v>
      </c>
      <c r="B14" s="31" t="s">
        <v>24</v>
      </c>
      <c r="C14" s="32"/>
      <c r="D14" s="32"/>
      <c r="E14" s="32"/>
      <c r="F14" s="32"/>
      <c r="G14" s="33"/>
      <c r="H14" s="34">
        <f t="shared" ref="H14" si="2">J14-I14</f>
        <v>0</v>
      </c>
      <c r="I14" s="35"/>
      <c r="J14" s="35"/>
    </row>
    <row r="15" spans="1:10" x14ac:dyDescent="0.2">
      <c r="A15" s="31">
        <v>46117</v>
      </c>
      <c r="B15" s="31" t="s">
        <v>25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47">
        <v>46118</v>
      </c>
      <c r="B16" s="47" t="s">
        <v>26</v>
      </c>
      <c r="C16" s="48" t="s">
        <v>14</v>
      </c>
      <c r="D16" s="48"/>
      <c r="E16" s="48" t="s">
        <v>23</v>
      </c>
      <c r="F16" s="48" t="s">
        <v>16</v>
      </c>
      <c r="G16" s="49" t="s">
        <v>27</v>
      </c>
      <c r="H16" s="50">
        <f t="shared" ref="H16:H23" si="3">J16-I16</f>
        <v>0.33333333333333331</v>
      </c>
      <c r="I16" s="51">
        <v>0.33333333333333331</v>
      </c>
      <c r="J16" s="51">
        <v>0.66666666666666663</v>
      </c>
    </row>
    <row r="17" spans="1:10" ht="50.4" x14ac:dyDescent="0.2">
      <c r="A17" s="22">
        <v>46119</v>
      </c>
      <c r="B17" s="22" t="s">
        <v>28</v>
      </c>
      <c r="C17" s="27" t="s">
        <v>14</v>
      </c>
      <c r="D17" s="27"/>
      <c r="E17" s="27" t="s">
        <v>15</v>
      </c>
      <c r="F17" s="27" t="s">
        <v>16</v>
      </c>
      <c r="G17" s="28" t="s">
        <v>29</v>
      </c>
      <c r="H17" s="29">
        <f t="shared" si="3"/>
        <v>0.19861111111111113</v>
      </c>
      <c r="I17" s="30">
        <v>0.33333333333333331</v>
      </c>
      <c r="J17" s="30">
        <v>0.53194444444444444</v>
      </c>
    </row>
    <row r="18" spans="1:10" ht="37.799999999999997" x14ac:dyDescent="0.2">
      <c r="A18" s="22">
        <v>46119</v>
      </c>
      <c r="B18" s="22" t="s">
        <v>28</v>
      </c>
      <c r="C18" s="27" t="s">
        <v>14</v>
      </c>
      <c r="D18" s="27"/>
      <c r="E18" s="27" t="s">
        <v>15</v>
      </c>
      <c r="F18" s="27" t="s">
        <v>16</v>
      </c>
      <c r="G18" s="28" t="s">
        <v>21</v>
      </c>
      <c r="H18" s="29">
        <v>0.16666666666666666</v>
      </c>
      <c r="I18" s="30">
        <v>0.57291666666666663</v>
      </c>
      <c r="J18" s="30">
        <v>0.73958333333333337</v>
      </c>
    </row>
    <row r="19" spans="1:10" ht="50.4" x14ac:dyDescent="0.2">
      <c r="A19" s="22">
        <v>46120</v>
      </c>
      <c r="B19" s="22" t="s">
        <v>13</v>
      </c>
      <c r="C19" s="27" t="s">
        <v>14</v>
      </c>
      <c r="D19" s="27"/>
      <c r="E19" s="27" t="s">
        <v>15</v>
      </c>
      <c r="F19" s="27" t="s">
        <v>16</v>
      </c>
      <c r="G19" s="28" t="s">
        <v>29</v>
      </c>
      <c r="H19" s="29">
        <f t="shared" si="3"/>
        <v>0.20069444444444445</v>
      </c>
      <c r="I19" s="30">
        <v>0.33333333333333331</v>
      </c>
      <c r="J19" s="30">
        <v>0.53402777777777777</v>
      </c>
    </row>
    <row r="20" spans="1:10" ht="37.799999999999997" x14ac:dyDescent="0.2">
      <c r="A20" s="22">
        <v>46119</v>
      </c>
      <c r="B20" s="22" t="s">
        <v>13</v>
      </c>
      <c r="C20" s="27" t="s">
        <v>14</v>
      </c>
      <c r="D20" s="27"/>
      <c r="E20" s="27" t="s">
        <v>15</v>
      </c>
      <c r="F20" s="27" t="s">
        <v>16</v>
      </c>
      <c r="G20" s="28" t="s">
        <v>21</v>
      </c>
      <c r="H20" s="29">
        <v>0.15277777777777779</v>
      </c>
      <c r="I20" s="30">
        <v>0.57430555555555551</v>
      </c>
      <c r="J20" s="30">
        <v>0.7270833333333333</v>
      </c>
    </row>
    <row r="21" spans="1:10" ht="50.4" x14ac:dyDescent="0.2">
      <c r="A21" s="22">
        <v>46121</v>
      </c>
      <c r="B21" s="22" t="s">
        <v>19</v>
      </c>
      <c r="C21" s="27" t="s">
        <v>14</v>
      </c>
      <c r="D21" s="27"/>
      <c r="E21" s="27" t="s">
        <v>15</v>
      </c>
      <c r="F21" s="27" t="s">
        <v>16</v>
      </c>
      <c r="G21" s="28" t="s">
        <v>29</v>
      </c>
      <c r="H21" s="29">
        <f t="shared" si="3"/>
        <v>0.19166666666666671</v>
      </c>
      <c r="I21" s="30">
        <v>0.33333333333333331</v>
      </c>
      <c r="J21" s="30">
        <v>0.52500000000000002</v>
      </c>
    </row>
    <row r="22" spans="1:10" ht="37.799999999999997" x14ac:dyDescent="0.2">
      <c r="A22" s="22">
        <v>46121</v>
      </c>
      <c r="B22" s="22" t="s">
        <v>19</v>
      </c>
      <c r="C22" s="27" t="s">
        <v>14</v>
      </c>
      <c r="D22" s="27"/>
      <c r="E22" s="27" t="s">
        <v>15</v>
      </c>
      <c r="F22" s="27" t="s">
        <v>16</v>
      </c>
      <c r="G22" s="28" t="s">
        <v>30</v>
      </c>
      <c r="H22" s="29">
        <v>0.16180555555555556</v>
      </c>
      <c r="I22" s="30">
        <v>0.56388888888888888</v>
      </c>
      <c r="J22" s="30">
        <v>0.72569444444444442</v>
      </c>
    </row>
    <row r="23" spans="1:10" ht="50.4" x14ac:dyDescent="0.2">
      <c r="A23" s="22">
        <v>46122</v>
      </c>
      <c r="B23" s="22" t="s">
        <v>22</v>
      </c>
      <c r="C23" s="27" t="s">
        <v>14</v>
      </c>
      <c r="D23" s="27"/>
      <c r="E23" s="27" t="s">
        <v>15</v>
      </c>
      <c r="F23" s="27" t="s">
        <v>16</v>
      </c>
      <c r="G23" s="28" t="s">
        <v>31</v>
      </c>
      <c r="H23" s="29">
        <f t="shared" si="3"/>
        <v>0.19861111111111113</v>
      </c>
      <c r="I23" s="30">
        <v>0.33333333333333331</v>
      </c>
      <c r="J23" s="30">
        <v>0.53194444444444444</v>
      </c>
    </row>
    <row r="24" spans="1:10" ht="37.799999999999997" x14ac:dyDescent="0.2">
      <c r="A24" s="22">
        <v>46122</v>
      </c>
      <c r="B24" s="22" t="s">
        <v>22</v>
      </c>
      <c r="C24" s="27" t="s">
        <v>14</v>
      </c>
      <c r="D24" s="27"/>
      <c r="E24" s="27" t="s">
        <v>15</v>
      </c>
      <c r="F24" s="27" t="s">
        <v>16</v>
      </c>
      <c r="G24" s="28" t="s">
        <v>30</v>
      </c>
      <c r="H24" s="29">
        <v>0.2076388888888889</v>
      </c>
      <c r="I24" s="30">
        <v>0.57013888888888886</v>
      </c>
      <c r="J24" s="30">
        <v>0.73611111111111116</v>
      </c>
    </row>
    <row r="25" spans="1:10" x14ac:dyDescent="0.2">
      <c r="A25" s="31">
        <v>46123</v>
      </c>
      <c r="B25" s="31" t="s">
        <v>24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46124</v>
      </c>
      <c r="B26" s="31" t="s">
        <v>25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ht="75.599999999999994" x14ac:dyDescent="0.2">
      <c r="A27" s="22">
        <v>46125</v>
      </c>
      <c r="B27" s="22" t="s">
        <v>26</v>
      </c>
      <c r="C27" s="27" t="s">
        <v>14</v>
      </c>
      <c r="D27" s="27"/>
      <c r="E27" s="27" t="s">
        <v>15</v>
      </c>
      <c r="F27" s="27" t="s">
        <v>16</v>
      </c>
      <c r="G27" s="28" t="s">
        <v>32</v>
      </c>
      <c r="H27" s="29">
        <f t="shared" si="1"/>
        <v>0.20208333333333334</v>
      </c>
      <c r="I27" s="30">
        <v>0.33333333333333331</v>
      </c>
      <c r="J27" s="30">
        <v>0.53541666666666665</v>
      </c>
    </row>
    <row r="28" spans="1:10" ht="75.599999999999994" x14ac:dyDescent="0.2">
      <c r="A28" s="22">
        <v>46125</v>
      </c>
      <c r="B28" s="22" t="s">
        <v>26</v>
      </c>
      <c r="C28" s="27" t="s">
        <v>14</v>
      </c>
      <c r="D28" s="27"/>
      <c r="E28" s="27" t="s">
        <v>15</v>
      </c>
      <c r="F28" s="27" t="s">
        <v>16</v>
      </c>
      <c r="G28" s="40" t="s">
        <v>33</v>
      </c>
      <c r="H28" s="29">
        <f t="shared" si="1"/>
        <v>0.14027777777777783</v>
      </c>
      <c r="I28" s="30">
        <v>0.57430555555555551</v>
      </c>
      <c r="J28" s="30">
        <v>0.71458333333333335</v>
      </c>
    </row>
    <row r="29" spans="1:10" ht="88.2" x14ac:dyDescent="0.2">
      <c r="A29" s="22">
        <v>46126</v>
      </c>
      <c r="B29" s="22" t="s">
        <v>28</v>
      </c>
      <c r="C29" s="27" t="s">
        <v>14</v>
      </c>
      <c r="D29" s="27"/>
      <c r="E29" s="27" t="s">
        <v>15</v>
      </c>
      <c r="F29" s="27" t="s">
        <v>16</v>
      </c>
      <c r="G29" s="28" t="s">
        <v>34</v>
      </c>
      <c r="H29" s="29">
        <f t="shared" si="1"/>
        <v>0.2097222222222222</v>
      </c>
      <c r="I29" s="30">
        <v>0.33333333333333331</v>
      </c>
      <c r="J29" s="30">
        <v>0.54305555555555551</v>
      </c>
    </row>
    <row r="30" spans="1:10" ht="75.599999999999994" x14ac:dyDescent="0.2">
      <c r="A30" s="22">
        <v>46126</v>
      </c>
      <c r="B30" s="22" t="s">
        <v>28</v>
      </c>
      <c r="C30" s="27" t="s">
        <v>14</v>
      </c>
      <c r="D30" s="27"/>
      <c r="E30" s="27" t="s">
        <v>35</v>
      </c>
      <c r="F30" s="27" t="s">
        <v>16</v>
      </c>
      <c r="G30" s="28" t="s">
        <v>36</v>
      </c>
      <c r="H30" s="29">
        <f t="shared" si="1"/>
        <v>0.15138888888888891</v>
      </c>
      <c r="I30" s="30">
        <v>0.58333333333333337</v>
      </c>
      <c r="J30" s="30">
        <v>0.73472222222222228</v>
      </c>
    </row>
    <row r="31" spans="1:10" ht="75.599999999999994" x14ac:dyDescent="0.2">
      <c r="A31" s="22">
        <v>46127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37</v>
      </c>
      <c r="H31" s="29">
        <f t="shared" si="1"/>
        <v>0.19861111111111113</v>
      </c>
      <c r="I31" s="30">
        <v>0.33333333333333331</v>
      </c>
      <c r="J31" s="30">
        <v>0.53194444444444444</v>
      </c>
    </row>
    <row r="32" spans="1:10" ht="75.599999999999994" x14ac:dyDescent="0.2">
      <c r="A32" s="22">
        <v>46127</v>
      </c>
      <c r="B32" s="22" t="s">
        <v>13</v>
      </c>
      <c r="C32" s="27" t="s">
        <v>14</v>
      </c>
      <c r="D32" s="27"/>
      <c r="E32" s="27" t="s">
        <v>15</v>
      </c>
      <c r="F32" s="27" t="s">
        <v>16</v>
      </c>
      <c r="G32" s="28" t="s">
        <v>38</v>
      </c>
      <c r="H32" s="29">
        <f t="shared" si="1"/>
        <v>0.16041666666666665</v>
      </c>
      <c r="I32" s="30">
        <v>0.56874999999999998</v>
      </c>
      <c r="J32" s="30">
        <v>0.72916666666666663</v>
      </c>
    </row>
    <row r="33" spans="1:10" ht="75.599999999999994" x14ac:dyDescent="0.2">
      <c r="A33" s="22">
        <v>46128</v>
      </c>
      <c r="B33" s="22" t="s">
        <v>19</v>
      </c>
      <c r="C33" s="27" t="s">
        <v>14</v>
      </c>
      <c r="D33" s="27"/>
      <c r="E33" s="27" t="s">
        <v>15</v>
      </c>
      <c r="F33" s="27" t="s">
        <v>16</v>
      </c>
      <c r="G33" s="28" t="s">
        <v>39</v>
      </c>
      <c r="H33" s="29">
        <f t="shared" si="1"/>
        <v>0.19930555555555557</v>
      </c>
      <c r="I33" s="30">
        <v>0.33333333333333331</v>
      </c>
      <c r="J33" s="30">
        <v>0.53263888888888888</v>
      </c>
    </row>
    <row r="34" spans="1:10" ht="75.599999999999994" x14ac:dyDescent="0.2">
      <c r="A34" s="22">
        <v>46128</v>
      </c>
      <c r="B34" s="22" t="s">
        <v>19</v>
      </c>
      <c r="C34" s="27" t="s">
        <v>14</v>
      </c>
      <c r="D34" s="27"/>
      <c r="E34" s="27" t="s">
        <v>15</v>
      </c>
      <c r="F34" s="27" t="s">
        <v>16</v>
      </c>
      <c r="G34" s="28" t="s">
        <v>40</v>
      </c>
      <c r="H34" s="29">
        <f t="shared" si="1"/>
        <v>0.16736111111111118</v>
      </c>
      <c r="I34" s="30">
        <v>0.57222222222222219</v>
      </c>
      <c r="J34" s="30">
        <v>0.73958333333333337</v>
      </c>
    </row>
    <row r="35" spans="1:10" ht="88.2" x14ac:dyDescent="0.2">
      <c r="A35" s="22">
        <v>46129</v>
      </c>
      <c r="B35" s="22" t="s">
        <v>22</v>
      </c>
      <c r="C35" s="27" t="s">
        <v>14</v>
      </c>
      <c r="D35" s="27"/>
      <c r="E35" s="27" t="s">
        <v>15</v>
      </c>
      <c r="F35" s="27" t="s">
        <v>16</v>
      </c>
      <c r="G35" s="28" t="s">
        <v>41</v>
      </c>
      <c r="H35" s="29">
        <f t="shared" si="1"/>
        <v>0.20694444444444443</v>
      </c>
      <c r="I35" s="30">
        <v>0.33333333333333331</v>
      </c>
      <c r="J35" s="30">
        <v>0.54027777777777775</v>
      </c>
    </row>
    <row r="36" spans="1:10" ht="75.599999999999994" x14ac:dyDescent="0.2">
      <c r="A36" s="22">
        <v>46129</v>
      </c>
      <c r="B36" s="22" t="s">
        <v>22</v>
      </c>
      <c r="C36" s="27" t="s">
        <v>14</v>
      </c>
      <c r="D36" s="27"/>
      <c r="E36" s="27" t="s">
        <v>15</v>
      </c>
      <c r="F36" s="27" t="s">
        <v>16</v>
      </c>
      <c r="G36" s="28" t="s">
        <v>42</v>
      </c>
      <c r="H36" s="29">
        <f t="shared" si="1"/>
        <v>0.14791666666666659</v>
      </c>
      <c r="I36" s="30">
        <v>0.57916666666666672</v>
      </c>
      <c r="J36" s="30">
        <v>0.7270833333333333</v>
      </c>
    </row>
    <row r="37" spans="1:10" x14ac:dyDescent="0.2">
      <c r="A37" s="31">
        <v>46130</v>
      </c>
      <c r="B37" s="31" t="s">
        <v>24</v>
      </c>
      <c r="C37" s="32"/>
      <c r="D37" s="32"/>
      <c r="E37" s="32"/>
      <c r="F37" s="32"/>
      <c r="G37" s="33"/>
      <c r="H37" s="34">
        <f t="shared" si="1"/>
        <v>0</v>
      </c>
      <c r="I37" s="35"/>
      <c r="J37" s="35"/>
    </row>
    <row r="38" spans="1:10" x14ac:dyDescent="0.2">
      <c r="A38" s="31">
        <v>46131</v>
      </c>
      <c r="B38" s="31" t="s">
        <v>25</v>
      </c>
      <c r="C38" s="32"/>
      <c r="D38" s="32"/>
      <c r="E38" s="32"/>
      <c r="F38" s="32"/>
      <c r="G38" s="33"/>
      <c r="H38" s="34">
        <f t="shared" si="1"/>
        <v>0</v>
      </c>
      <c r="I38" s="35"/>
      <c r="J38" s="35"/>
    </row>
    <row r="39" spans="1:10" ht="50.4" x14ac:dyDescent="0.2">
      <c r="A39" s="22">
        <v>46132</v>
      </c>
      <c r="B39" s="22" t="s">
        <v>26</v>
      </c>
      <c r="C39" s="27" t="s">
        <v>14</v>
      </c>
      <c r="D39" s="27"/>
      <c r="E39" s="27" t="s">
        <v>15</v>
      </c>
      <c r="F39" s="27" t="s">
        <v>16</v>
      </c>
      <c r="G39" s="28" t="s">
        <v>43</v>
      </c>
      <c r="H39" s="29">
        <f t="shared" si="1"/>
        <v>0.20208333333333334</v>
      </c>
      <c r="I39" s="30">
        <v>0.33333333333333331</v>
      </c>
      <c r="J39" s="30">
        <v>0.53541666666666665</v>
      </c>
    </row>
    <row r="40" spans="1:10" ht="37.799999999999997" x14ac:dyDescent="0.2">
      <c r="A40" s="22">
        <v>46132</v>
      </c>
      <c r="B40" s="22" t="s">
        <v>26</v>
      </c>
      <c r="C40" s="27" t="s">
        <v>14</v>
      </c>
      <c r="D40" s="27"/>
      <c r="E40" s="27" t="s">
        <v>15</v>
      </c>
      <c r="F40" s="27" t="s">
        <v>16</v>
      </c>
      <c r="G40" s="28" t="s">
        <v>44</v>
      </c>
      <c r="H40" s="29">
        <v>0.1451388888888889</v>
      </c>
      <c r="I40" s="30">
        <v>0.57499999999999996</v>
      </c>
      <c r="J40" s="30">
        <v>0.72013888888888888</v>
      </c>
    </row>
    <row r="41" spans="1:10" ht="50.4" x14ac:dyDescent="0.2">
      <c r="A41" s="22">
        <v>46133</v>
      </c>
      <c r="B41" s="22" t="s">
        <v>28</v>
      </c>
      <c r="C41" s="27" t="s">
        <v>14</v>
      </c>
      <c r="D41" s="27"/>
      <c r="E41" s="27" t="s">
        <v>15</v>
      </c>
      <c r="F41" s="27" t="s">
        <v>16</v>
      </c>
      <c r="G41" s="28" t="s">
        <v>45</v>
      </c>
      <c r="H41" s="29">
        <f t="shared" si="1"/>
        <v>0.20555555555555555</v>
      </c>
      <c r="I41" s="30">
        <v>0.33333333333333331</v>
      </c>
      <c r="J41" s="30">
        <v>0.53888888888888886</v>
      </c>
    </row>
    <row r="42" spans="1:10" ht="37.799999999999997" x14ac:dyDescent="0.2">
      <c r="A42" s="22">
        <v>46133</v>
      </c>
      <c r="B42" s="22" t="s">
        <v>28</v>
      </c>
      <c r="C42" s="27" t="s">
        <v>14</v>
      </c>
      <c r="D42" s="27"/>
      <c r="E42" s="27" t="s">
        <v>15</v>
      </c>
      <c r="F42" s="27" t="s">
        <v>16</v>
      </c>
      <c r="G42" s="28" t="s">
        <v>44</v>
      </c>
      <c r="H42" s="29">
        <f t="shared" si="1"/>
        <v>0.13263888888888886</v>
      </c>
      <c r="I42" s="30">
        <v>0.57916666666666672</v>
      </c>
      <c r="J42" s="30">
        <v>0.71180555555555558</v>
      </c>
    </row>
    <row r="43" spans="1:10" ht="50.4" x14ac:dyDescent="0.2">
      <c r="A43" s="22">
        <v>46134</v>
      </c>
      <c r="B43" s="22" t="s">
        <v>13</v>
      </c>
      <c r="C43" s="27" t="s">
        <v>14</v>
      </c>
      <c r="D43" s="27"/>
      <c r="E43" s="27" t="s">
        <v>15</v>
      </c>
      <c r="F43" s="27" t="s">
        <v>16</v>
      </c>
      <c r="G43" s="28" t="s">
        <v>45</v>
      </c>
      <c r="H43" s="29">
        <f t="shared" si="1"/>
        <v>0.20624999999999999</v>
      </c>
      <c r="I43" s="30">
        <v>0.33333333333333331</v>
      </c>
      <c r="J43" s="30">
        <v>0.5395833333333333</v>
      </c>
    </row>
    <row r="44" spans="1:10" ht="37.799999999999997" x14ac:dyDescent="0.2">
      <c r="A44" s="22">
        <v>46134</v>
      </c>
      <c r="B44" s="22" t="s">
        <v>13</v>
      </c>
      <c r="C44" s="27" t="s">
        <v>14</v>
      </c>
      <c r="D44" s="27"/>
      <c r="E44" s="27" t="s">
        <v>15</v>
      </c>
      <c r="F44" s="27" t="s">
        <v>16</v>
      </c>
      <c r="G44" s="28" t="s">
        <v>44</v>
      </c>
      <c r="H44" s="29">
        <f t="shared" si="1"/>
        <v>0.14444444444444438</v>
      </c>
      <c r="I44" s="30">
        <v>0.57986111111111116</v>
      </c>
      <c r="J44" s="30">
        <v>0.72430555555555554</v>
      </c>
    </row>
    <row r="45" spans="1:10" ht="50.4" x14ac:dyDescent="0.2">
      <c r="A45" s="22">
        <v>46135</v>
      </c>
      <c r="B45" s="22" t="s">
        <v>19</v>
      </c>
      <c r="C45" s="27" t="s">
        <v>14</v>
      </c>
      <c r="D45" s="27"/>
      <c r="E45" s="27" t="s">
        <v>15</v>
      </c>
      <c r="F45" s="27" t="s">
        <v>16</v>
      </c>
      <c r="G45" s="28" t="s">
        <v>45</v>
      </c>
      <c r="H45" s="29">
        <f t="shared" si="1"/>
        <v>0.2</v>
      </c>
      <c r="I45" s="30">
        <v>0.33333333333333331</v>
      </c>
      <c r="J45" s="30">
        <v>0.53333333333333333</v>
      </c>
    </row>
    <row r="46" spans="1:10" ht="37.799999999999997" x14ac:dyDescent="0.2">
      <c r="A46" s="22">
        <v>46135</v>
      </c>
      <c r="B46" s="22" t="s">
        <v>19</v>
      </c>
      <c r="C46" s="27" t="s">
        <v>14</v>
      </c>
      <c r="D46" s="27"/>
      <c r="E46" s="27" t="s">
        <v>15</v>
      </c>
      <c r="F46" s="27" t="s">
        <v>16</v>
      </c>
      <c r="G46" s="28" t="s">
        <v>44</v>
      </c>
      <c r="H46" s="29">
        <f t="shared" si="1"/>
        <v>0.13750000000000007</v>
      </c>
      <c r="I46" s="30">
        <v>0.57291666666666663</v>
      </c>
      <c r="J46" s="30">
        <v>0.7104166666666667</v>
      </c>
    </row>
    <row r="47" spans="1:10" ht="50.4" x14ac:dyDescent="0.2">
      <c r="A47" s="22">
        <v>46136</v>
      </c>
      <c r="B47" s="22" t="s">
        <v>22</v>
      </c>
      <c r="C47" s="27" t="s">
        <v>14</v>
      </c>
      <c r="D47" s="27"/>
      <c r="E47" s="27" t="s">
        <v>15</v>
      </c>
      <c r="F47" s="27" t="s">
        <v>16</v>
      </c>
      <c r="G47" s="28" t="s">
        <v>45</v>
      </c>
      <c r="H47" s="29">
        <f t="shared" si="1"/>
        <v>0.20069444444444445</v>
      </c>
      <c r="I47" s="30">
        <v>0.33333333333333331</v>
      </c>
      <c r="J47" s="30">
        <v>0.53402777777777777</v>
      </c>
    </row>
    <row r="48" spans="1:10" x14ac:dyDescent="0.2">
      <c r="A48" s="22">
        <v>46136</v>
      </c>
      <c r="B48" s="22" t="s">
        <v>22</v>
      </c>
      <c r="C48" s="27" t="s">
        <v>14</v>
      </c>
      <c r="D48" s="27"/>
      <c r="E48" s="27" t="s">
        <v>15</v>
      </c>
      <c r="F48" s="27" t="s">
        <v>16</v>
      </c>
      <c r="G48" s="28" t="s">
        <v>46</v>
      </c>
      <c r="H48" s="29">
        <f t="shared" si="1"/>
        <v>2.9166666666666674E-2</v>
      </c>
      <c r="I48" s="30">
        <v>0.57430555555555551</v>
      </c>
      <c r="J48" s="30">
        <v>0.60347222222222219</v>
      </c>
    </row>
    <row r="49" spans="1:10" ht="25.2" x14ac:dyDescent="0.2">
      <c r="A49" s="22">
        <v>46136</v>
      </c>
      <c r="B49" s="22" t="s">
        <v>22</v>
      </c>
      <c r="C49" s="27" t="s">
        <v>14</v>
      </c>
      <c r="D49" s="27"/>
      <c r="E49" s="27" t="s">
        <v>35</v>
      </c>
      <c r="F49" s="27" t="s">
        <v>16</v>
      </c>
      <c r="G49" s="40" t="s">
        <v>47</v>
      </c>
      <c r="H49" s="29">
        <f t="shared" si="1"/>
        <v>1.1805555555555625E-2</v>
      </c>
      <c r="I49" s="30">
        <v>0.60347222222222219</v>
      </c>
      <c r="J49" s="30">
        <v>0.61527777777777781</v>
      </c>
    </row>
    <row r="50" spans="1:10" ht="63" x14ac:dyDescent="0.2">
      <c r="A50" s="22">
        <v>46136</v>
      </c>
      <c r="B50" s="22" t="s">
        <v>22</v>
      </c>
      <c r="C50" s="27" t="s">
        <v>14</v>
      </c>
      <c r="D50" s="27"/>
      <c r="E50" s="27" t="s">
        <v>15</v>
      </c>
      <c r="F50" s="27" t="s">
        <v>16</v>
      </c>
      <c r="G50" s="40" t="s">
        <v>48</v>
      </c>
      <c r="H50" s="29">
        <f t="shared" si="1"/>
        <v>0.10069444444444442</v>
      </c>
      <c r="I50" s="30">
        <v>0.61527777777777781</v>
      </c>
      <c r="J50" s="30">
        <v>0.71597222222222223</v>
      </c>
    </row>
    <row r="51" spans="1:10" x14ac:dyDescent="0.2">
      <c r="A51" s="31">
        <v>46137</v>
      </c>
      <c r="B51" s="31" t="s">
        <v>24</v>
      </c>
      <c r="C51" s="32"/>
      <c r="D51" s="32"/>
      <c r="E51" s="32"/>
      <c r="F51" s="32"/>
      <c r="G51" s="33"/>
      <c r="H51" s="34">
        <f t="shared" si="1"/>
        <v>0</v>
      </c>
      <c r="I51" s="35"/>
      <c r="J51" s="35"/>
    </row>
    <row r="52" spans="1:10" x14ac:dyDescent="0.2">
      <c r="A52" s="31">
        <v>46138</v>
      </c>
      <c r="B52" s="31" t="s">
        <v>25</v>
      </c>
      <c r="C52" s="32"/>
      <c r="D52" s="32"/>
      <c r="E52" s="32"/>
      <c r="F52" s="32"/>
      <c r="G52" s="33"/>
      <c r="H52" s="34">
        <f t="shared" si="1"/>
        <v>0</v>
      </c>
      <c r="I52" s="35"/>
      <c r="J52" s="35"/>
    </row>
    <row r="53" spans="1:10" x14ac:dyDescent="0.2">
      <c r="A53" s="47">
        <v>46139</v>
      </c>
      <c r="B53" s="47" t="s">
        <v>26</v>
      </c>
      <c r="C53" s="48" t="s">
        <v>14</v>
      </c>
      <c r="D53" s="48"/>
      <c r="E53" s="48" t="s">
        <v>23</v>
      </c>
      <c r="F53" s="48" t="s">
        <v>16</v>
      </c>
      <c r="G53" s="49" t="s">
        <v>49</v>
      </c>
      <c r="H53" s="50">
        <f t="shared" si="1"/>
        <v>0.33333333333333331</v>
      </c>
      <c r="I53" s="51">
        <v>0.33333333333333331</v>
      </c>
      <c r="J53" s="51">
        <v>0.66666666666666663</v>
      </c>
    </row>
    <row r="54" spans="1:10" ht="50.4" x14ac:dyDescent="0.2">
      <c r="A54" s="122" t="s">
        <v>50</v>
      </c>
      <c r="B54" s="122" t="s">
        <v>28</v>
      </c>
      <c r="C54" s="122" t="s">
        <v>14</v>
      </c>
      <c r="D54" s="122"/>
      <c r="E54" s="122" t="s">
        <v>15</v>
      </c>
      <c r="F54" s="122" t="s">
        <v>16</v>
      </c>
      <c r="G54" s="123" t="s">
        <v>51</v>
      </c>
      <c r="H54" s="124">
        <v>0.2013888888888889</v>
      </c>
      <c r="I54" s="125">
        <v>0.33333333333333331</v>
      </c>
      <c r="J54" s="125">
        <v>0.53263888888888888</v>
      </c>
    </row>
    <row r="55" spans="1:10" ht="63" x14ac:dyDescent="0.2">
      <c r="A55" s="122" t="s">
        <v>50</v>
      </c>
      <c r="B55" s="122" t="s">
        <v>28</v>
      </c>
      <c r="C55" s="122" t="s">
        <v>14</v>
      </c>
      <c r="D55" s="122"/>
      <c r="E55" s="122" t="s">
        <v>15</v>
      </c>
      <c r="F55" s="122" t="s">
        <v>16</v>
      </c>
      <c r="G55" s="123" t="s">
        <v>52</v>
      </c>
      <c r="H55" s="124">
        <v>0.13402777777777777</v>
      </c>
      <c r="I55" s="125">
        <v>0.57291666666666663</v>
      </c>
      <c r="J55" s="125">
        <v>0.70972222222222225</v>
      </c>
    </row>
    <row r="56" spans="1:10" ht="63" x14ac:dyDescent="0.2">
      <c r="A56" s="122" t="s">
        <v>53</v>
      </c>
      <c r="B56" s="122" t="s">
        <v>13</v>
      </c>
      <c r="C56" s="122" t="s">
        <v>14</v>
      </c>
      <c r="D56" s="122"/>
      <c r="E56" s="122" t="s">
        <v>15</v>
      </c>
      <c r="F56" s="122" t="s">
        <v>16</v>
      </c>
      <c r="G56" s="123" t="s">
        <v>54</v>
      </c>
      <c r="H56" s="124">
        <v>0.16944444444444445</v>
      </c>
      <c r="I56" s="125">
        <v>0.33333333333333331</v>
      </c>
      <c r="J56" s="125">
        <v>0.53888888888888886</v>
      </c>
    </row>
    <row r="57" spans="1:10" ht="63" x14ac:dyDescent="0.2">
      <c r="A57" s="122" t="s">
        <v>53</v>
      </c>
      <c r="B57" s="122" t="s">
        <v>13</v>
      </c>
      <c r="C57" s="122" t="s">
        <v>14</v>
      </c>
      <c r="D57" s="122"/>
      <c r="E57" s="122" t="s">
        <v>15</v>
      </c>
      <c r="F57" s="122" t="s">
        <v>16</v>
      </c>
      <c r="G57" s="123" t="s">
        <v>55</v>
      </c>
      <c r="H57" s="124">
        <v>0.17222222222222222</v>
      </c>
      <c r="I57" s="125">
        <v>0.57916666666666672</v>
      </c>
      <c r="J57" s="125">
        <v>0.71319444444444446</v>
      </c>
    </row>
    <row r="58" spans="1:10" ht="13.95" customHeight="1" x14ac:dyDescent="0.2">
      <c r="A58" s="122" t="s">
        <v>56</v>
      </c>
      <c r="B58" s="122" t="s">
        <v>19</v>
      </c>
      <c r="C58" s="122" t="s">
        <v>14</v>
      </c>
      <c r="D58" s="122"/>
      <c r="E58" s="122" t="s">
        <v>15</v>
      </c>
      <c r="F58" s="122" t="s">
        <v>16</v>
      </c>
      <c r="G58" s="123" t="s">
        <v>57</v>
      </c>
      <c r="H58" s="124">
        <v>0.20347222222222222</v>
      </c>
      <c r="I58" s="125">
        <v>0.33333333333333331</v>
      </c>
      <c r="J58" s="125">
        <v>0.53888888888888886</v>
      </c>
    </row>
    <row r="59" spans="1:10" ht="13.95" customHeight="1" x14ac:dyDescent="0.2">
      <c r="A59" s="122" t="s">
        <v>56</v>
      </c>
      <c r="B59" s="122" t="s">
        <v>19</v>
      </c>
      <c r="C59" s="122" t="s">
        <v>14</v>
      </c>
      <c r="D59" s="122"/>
      <c r="E59" s="122" t="s">
        <v>15</v>
      </c>
      <c r="F59" s="122" t="s">
        <v>16</v>
      </c>
      <c r="G59" s="123" t="s">
        <v>58</v>
      </c>
      <c r="H59" s="124">
        <v>0.1423611111111111</v>
      </c>
      <c r="I59" s="125">
        <v>0.57916666666666672</v>
      </c>
      <c r="J59" s="125">
        <v>0.72013888888888888</v>
      </c>
    </row>
    <row r="60" spans="1:10" ht="13.95" customHeight="1" x14ac:dyDescent="0.2">
      <c r="A60" s="126"/>
      <c r="B60" s="126"/>
      <c r="C60" s="126"/>
      <c r="D60" s="126"/>
      <c r="E60" s="126"/>
      <c r="F60" s="126"/>
      <c r="G60" s="127"/>
      <c r="H60" s="128"/>
      <c r="I60" s="129"/>
      <c r="J60" s="129"/>
    </row>
    <row r="61" spans="1:10" ht="13.95" customHeight="1" x14ac:dyDescent="0.2">
      <c r="A61" s="126"/>
      <c r="B61" s="126"/>
      <c r="C61" s="126"/>
      <c r="D61" s="126"/>
      <c r="E61" s="126"/>
      <c r="F61" s="126"/>
      <c r="G61" s="127"/>
      <c r="H61" s="128"/>
      <c r="I61" s="129"/>
      <c r="J61" s="129"/>
    </row>
    <row r="62" spans="1:10" x14ac:dyDescent="0.2">
      <c r="A62" s="126"/>
      <c r="B62" s="126"/>
      <c r="C62" s="126"/>
      <c r="D62" s="126"/>
      <c r="E62" s="126"/>
      <c r="F62" s="126"/>
      <c r="G62" s="127"/>
      <c r="H62" s="128"/>
      <c r="I62" s="129"/>
      <c r="J62" s="129"/>
    </row>
    <row r="63" spans="1:10" ht="15" customHeight="1" x14ac:dyDescent="0.2">
      <c r="A63" s="46"/>
      <c r="B63" s="46"/>
      <c r="G63" s="40"/>
      <c r="H63" s="64"/>
      <c r="I63" s="65"/>
      <c r="J63" s="65"/>
    </row>
    <row r="64" spans="1:10" ht="13.2" x14ac:dyDescent="0.25">
      <c r="A64" s="4"/>
      <c r="B64" s="4"/>
      <c r="C64" s="5"/>
      <c r="D64" s="6"/>
      <c r="E64" s="7" t="s">
        <v>59</v>
      </c>
      <c r="F64" s="8">
        <v>152</v>
      </c>
      <c r="H64" s="40"/>
    </row>
    <row r="65" spans="1:8" ht="13.2" x14ac:dyDescent="0.25">
      <c r="A65" s="4"/>
      <c r="B65" s="4"/>
      <c r="C65" s="9"/>
      <c r="D65" s="2"/>
      <c r="E65" s="10" t="s">
        <v>60</v>
      </c>
      <c r="F65" s="11">
        <v>19</v>
      </c>
      <c r="H65" s="40"/>
    </row>
    <row r="66" spans="1:8" ht="13.8" x14ac:dyDescent="0.25">
      <c r="A66" s="130" t="s">
        <v>61</v>
      </c>
      <c r="B66" s="130"/>
      <c r="C66" s="130"/>
      <c r="D66" s="12"/>
      <c r="E66" s="2"/>
      <c r="F66" s="2"/>
      <c r="H66" s="40"/>
    </row>
    <row r="67" spans="1:8" ht="13.8" x14ac:dyDescent="0.25">
      <c r="A67" s="13"/>
      <c r="B67" s="13"/>
      <c r="C67" s="6"/>
      <c r="D67" s="6"/>
      <c r="E67" s="14" t="s">
        <v>62</v>
      </c>
      <c r="F67" s="15">
        <f>SUMIF(F9:F59,"Billable",H9:H59)</f>
        <v>0</v>
      </c>
      <c r="H67" s="38"/>
    </row>
    <row r="68" spans="1:8" ht="13.8" x14ac:dyDescent="0.25">
      <c r="A68" s="131" t="s">
        <v>63</v>
      </c>
      <c r="B68" s="131"/>
      <c r="C68" s="131"/>
      <c r="D68" s="16"/>
      <c r="E68" s="17" t="s">
        <v>64</v>
      </c>
      <c r="F68" s="18">
        <f>SUMIF(F9:F59,"Non-Billable",H9:H59)</f>
        <v>7.7180555555555559</v>
      </c>
      <c r="H68" s="40"/>
    </row>
    <row r="69" spans="1:8" ht="13.8" x14ac:dyDescent="0.25">
      <c r="A69" s="2"/>
      <c r="B69" s="2"/>
      <c r="C69" s="2"/>
      <c r="D69" s="2"/>
      <c r="E69" s="19" t="s">
        <v>65</v>
      </c>
      <c r="F69" s="44">
        <f>F67+F68</f>
        <v>7.7180555555555559</v>
      </c>
      <c r="H69" s="40"/>
    </row>
    <row r="70" spans="1:8" ht="13.2" x14ac:dyDescent="0.25">
      <c r="A70" s="2"/>
      <c r="B70" s="2"/>
      <c r="C70" s="2"/>
      <c r="D70" s="2"/>
      <c r="E70" s="2"/>
      <c r="F70" s="2"/>
      <c r="H70" s="40"/>
    </row>
    <row r="71" spans="1:8" ht="13.2" x14ac:dyDescent="0.25">
      <c r="A71" s="2"/>
      <c r="B71" s="2"/>
      <c r="C71" s="2"/>
      <c r="D71" s="2"/>
      <c r="E71" s="20" t="s">
        <v>66</v>
      </c>
      <c r="F71" s="21"/>
      <c r="H71" s="40"/>
    </row>
    <row r="72" spans="1:8" x14ac:dyDescent="0.2">
      <c r="E72" s="39"/>
      <c r="H72" s="40"/>
    </row>
  </sheetData>
  <mergeCells count="2">
    <mergeCell ref="A66:C66"/>
    <mergeCell ref="A68:C6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53 B63:B7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64:E64 D66:E68 E71">
    <cfRule type="containsText" dxfId="86" priority="3" operator="containsText" text="Religious Leave">
      <formula>NOT(ISERROR(SEARCH("Religious Leave",D64)))</formula>
    </cfRule>
    <cfRule type="containsText" dxfId="85" priority="4" operator="containsText" text="Birthday Leave">
      <formula>NOT(ISERROR(SEARCH("Birthday Leave",D64)))</formula>
    </cfRule>
    <cfRule type="containsText" dxfId="84" priority="5" operator="containsText" text="Study Leave">
      <formula>NOT(ISERROR(SEARCH("Study Leave",D64)))</formula>
    </cfRule>
    <cfRule type="containsText" dxfId="83" priority="6" operator="containsText" text="Family Responsibility Leave">
      <formula>NOT(ISERROR(SEARCH("Family Responsibility Leave",D64)))</formula>
    </cfRule>
    <cfRule type="containsText" dxfId="82" priority="7" operator="containsText" text="Sick Leave">
      <formula>NOT(ISERROR(SEARCH("Sick Leave",D64)))</formula>
    </cfRule>
    <cfRule type="containsText" dxfId="81" priority="8" operator="containsText" text="Annual Leave">
      <formula>NOT(ISERROR(SEARCH("Annual Leave",D64)))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63:J63 I9:J5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F63 F13:F16 F25:F26 F37:F53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E63 E13:E16 E25:E26 E37:E53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C63 C13:C16 C25:C26 C37:C53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67</v>
      </c>
      <c r="C5" s="37"/>
      <c r="H5" s="40"/>
    </row>
    <row r="6" spans="1:10" x14ac:dyDescent="0.2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46143</v>
      </c>
      <c r="B9" s="47" t="s">
        <v>22</v>
      </c>
      <c r="C9" s="48" t="s">
        <v>14</v>
      </c>
      <c r="D9" s="48"/>
      <c r="E9" s="48" t="s">
        <v>23</v>
      </c>
      <c r="F9" s="48" t="s">
        <v>16</v>
      </c>
      <c r="G9" s="49" t="s">
        <v>68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24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25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26</v>
      </c>
      <c r="C12" s="27" t="s">
        <v>14</v>
      </c>
      <c r="D12" s="27" t="s">
        <v>67</v>
      </c>
      <c r="E12" s="27" t="s">
        <v>69</v>
      </c>
      <c r="F12" s="27" t="s">
        <v>70</v>
      </c>
      <c r="G12" s="28" t="s">
        <v>71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28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19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22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24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25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26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28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19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22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24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25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26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28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19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22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24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25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26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28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19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22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24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25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59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60</v>
      </c>
      <c r="F42" s="11">
        <v>20</v>
      </c>
      <c r="H42" s="40"/>
    </row>
    <row r="43" spans="1:10" ht="13.95" customHeight="1" thickBot="1" x14ac:dyDescent="0.3">
      <c r="A43" s="130" t="s">
        <v>61</v>
      </c>
      <c r="B43" s="130"/>
      <c r="C43" s="13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62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31" t="s">
        <v>63</v>
      </c>
      <c r="B45" s="131"/>
      <c r="C45" s="131"/>
      <c r="D45" s="16"/>
      <c r="E45" s="17" t="s">
        <v>64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65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66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67</v>
      </c>
      <c r="C5" s="37"/>
      <c r="H5" s="40"/>
    </row>
    <row r="6" spans="1:10" x14ac:dyDescent="0.2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46174</v>
      </c>
      <c r="B9" s="22" t="s">
        <v>26</v>
      </c>
      <c r="C9" s="27" t="s">
        <v>14</v>
      </c>
      <c r="D9" s="27" t="s">
        <v>67</v>
      </c>
      <c r="E9" s="27" t="s">
        <v>69</v>
      </c>
      <c r="F9" s="27" t="s">
        <v>70</v>
      </c>
      <c r="G9" s="28" t="s">
        <v>71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28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22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24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25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26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28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22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24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25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26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28</v>
      </c>
      <c r="C24" s="48" t="s">
        <v>14</v>
      </c>
      <c r="D24" s="48"/>
      <c r="E24" s="48" t="s">
        <v>23</v>
      </c>
      <c r="F24" s="48" t="s">
        <v>16</v>
      </c>
      <c r="G24" s="49" t="s">
        <v>72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22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24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25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26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28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19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22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24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25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26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28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59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60</v>
      </c>
      <c r="F41" s="11">
        <v>21</v>
      </c>
      <c r="H41" s="40"/>
    </row>
    <row r="42" spans="1:10" ht="13.95" customHeight="1" thickBot="1" x14ac:dyDescent="0.3">
      <c r="A42" s="130" t="s">
        <v>61</v>
      </c>
      <c r="B42" s="130"/>
      <c r="C42" s="13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62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31" t="s">
        <v>63</v>
      </c>
      <c r="B44" s="131"/>
      <c r="C44" s="131"/>
      <c r="D44" s="16"/>
      <c r="E44" s="17" t="s">
        <v>64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65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66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67</v>
      </c>
      <c r="C5" s="37"/>
      <c r="H5" s="40"/>
    </row>
    <row r="6" spans="1:10" x14ac:dyDescent="0.2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46204</v>
      </c>
      <c r="B9" s="22" t="s">
        <v>13</v>
      </c>
      <c r="C9" s="27" t="s">
        <v>14</v>
      </c>
      <c r="D9" s="27" t="s">
        <v>67</v>
      </c>
      <c r="E9" s="27" t="s">
        <v>69</v>
      </c>
      <c r="F9" s="27" t="s">
        <v>70</v>
      </c>
      <c r="G9" s="28" t="s">
        <v>71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19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22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24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25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26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28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19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22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24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25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26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28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22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24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25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26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28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22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24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25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26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28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22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59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60</v>
      </c>
      <c r="F42" s="11">
        <v>23</v>
      </c>
      <c r="H42" s="40"/>
    </row>
    <row r="43" spans="1:10" ht="13.95" customHeight="1" thickBot="1" x14ac:dyDescent="0.3">
      <c r="A43" s="130" t="s">
        <v>61</v>
      </c>
      <c r="B43" s="130"/>
      <c r="C43" s="13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62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31" t="s">
        <v>63</v>
      </c>
      <c r="B45" s="131"/>
      <c r="C45" s="131"/>
      <c r="D45" s="16"/>
      <c r="E45" s="17" t="s">
        <v>64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65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66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67</v>
      </c>
      <c r="C5" s="37"/>
      <c r="H5" s="40"/>
    </row>
    <row r="6" spans="1:10" x14ac:dyDescent="0.2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46235</v>
      </c>
      <c r="B9" s="31" t="s">
        <v>24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25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26</v>
      </c>
      <c r="C11" s="27" t="s">
        <v>14</v>
      </c>
      <c r="D11" s="27" t="s">
        <v>67</v>
      </c>
      <c r="E11" s="27" t="s">
        <v>69</v>
      </c>
      <c r="F11" s="27" t="s">
        <v>70</v>
      </c>
      <c r="G11" s="28" t="s">
        <v>71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28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19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22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24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25</v>
      </c>
      <c r="C17" s="32"/>
      <c r="D17" s="32"/>
      <c r="E17" s="32"/>
      <c r="F17" s="32"/>
      <c r="G17" s="33" t="s">
        <v>73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26</v>
      </c>
      <c r="C18" s="48" t="s">
        <v>14</v>
      </c>
      <c r="D18" s="48"/>
      <c r="E18" s="48" t="s">
        <v>23</v>
      </c>
      <c r="F18" s="48" t="s">
        <v>16</v>
      </c>
      <c r="G18" s="49" t="s">
        <v>74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28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19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22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24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25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26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28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19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22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24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25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26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28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19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22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24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25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26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59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60</v>
      </c>
      <c r="F42" s="11">
        <v>20</v>
      </c>
      <c r="H42" s="40"/>
    </row>
    <row r="43" spans="1:10" ht="13.95" customHeight="1" thickBot="1" x14ac:dyDescent="0.3">
      <c r="A43" s="130" t="s">
        <v>61</v>
      </c>
      <c r="B43" s="130"/>
      <c r="C43" s="130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62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31" t="s">
        <v>63</v>
      </c>
      <c r="B45" s="131"/>
      <c r="C45" s="131"/>
      <c r="D45" s="16"/>
      <c r="E45" s="17" t="s">
        <v>64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65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66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67</v>
      </c>
      <c r="C5" s="37"/>
      <c r="H5" s="40"/>
    </row>
    <row r="6" spans="1:10" x14ac:dyDescent="0.2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46266</v>
      </c>
      <c r="B9" s="22" t="s">
        <v>28</v>
      </c>
      <c r="C9" s="27" t="s">
        <v>14</v>
      </c>
      <c r="D9" s="27" t="s">
        <v>67</v>
      </c>
      <c r="E9" s="27" t="s">
        <v>69</v>
      </c>
      <c r="F9" s="27" t="s">
        <v>70</v>
      </c>
      <c r="G9" s="28" t="s">
        <v>71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22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24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25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26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28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22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24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25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26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28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22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24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25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26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28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19</v>
      </c>
      <c r="C32" s="48" t="s">
        <v>14</v>
      </c>
      <c r="D32" s="48"/>
      <c r="E32" s="48" t="s">
        <v>23</v>
      </c>
      <c r="F32" s="48" t="s">
        <v>16</v>
      </c>
      <c r="G32" s="49" t="s">
        <v>75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22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24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25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26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28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59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60</v>
      </c>
      <c r="F41" s="11">
        <v>21</v>
      </c>
      <c r="H41" s="40"/>
    </row>
    <row r="42" spans="1:10" ht="13.95" customHeight="1" thickBot="1" x14ac:dyDescent="0.3">
      <c r="A42" s="130" t="s">
        <v>61</v>
      </c>
      <c r="B42" s="130"/>
      <c r="C42" s="130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62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31" t="s">
        <v>63</v>
      </c>
      <c r="B44" s="131"/>
      <c r="C44" s="131"/>
      <c r="D44" s="16"/>
      <c r="E44" s="17" t="s">
        <v>64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65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66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0</v>
      </c>
      <c r="B5" s="23" t="s">
        <v>67</v>
      </c>
      <c r="C5" s="86"/>
      <c r="D5" s="86"/>
      <c r="E5" s="86"/>
      <c r="F5" s="86"/>
    </row>
    <row r="6" spans="1:15" x14ac:dyDescent="0.2">
      <c r="A6" s="79" t="s">
        <v>76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7" t="s">
        <v>77</v>
      </c>
      <c r="B8" s="137"/>
      <c r="C8" s="137"/>
      <c r="D8" s="137"/>
      <c r="E8" s="137"/>
      <c r="F8" s="137"/>
    </row>
    <row r="9" spans="1:15" ht="13.5" customHeight="1" thickBot="1" x14ac:dyDescent="0.25">
      <c r="A9" s="82" t="s">
        <v>78</v>
      </c>
      <c r="B9" s="134" t="s">
        <v>79</v>
      </c>
      <c r="C9" s="135"/>
      <c r="D9" s="134" t="s">
        <v>80</v>
      </c>
      <c r="E9" s="135"/>
      <c r="F9" s="83" t="s">
        <v>81</v>
      </c>
    </row>
    <row r="10" spans="1:15" x14ac:dyDescent="0.2">
      <c r="A10" s="78">
        <v>46113</v>
      </c>
      <c r="B10" s="136" t="s">
        <v>82</v>
      </c>
      <c r="C10" s="136"/>
      <c r="D10" s="136" t="s">
        <v>83</v>
      </c>
      <c r="E10" s="136"/>
      <c r="F10" s="77">
        <v>200</v>
      </c>
      <c r="G10" s="132" t="s">
        <v>84</v>
      </c>
      <c r="H10" s="133"/>
      <c r="I10" s="133"/>
      <c r="J10" s="133"/>
      <c r="K10" s="133"/>
      <c r="L10" s="133"/>
      <c r="M10" s="133"/>
      <c r="N10" s="133"/>
      <c r="O10" s="133"/>
    </row>
    <row r="11" spans="1:15" x14ac:dyDescent="0.2">
      <c r="A11" s="78">
        <v>46113</v>
      </c>
      <c r="B11" s="138" t="s">
        <v>85</v>
      </c>
      <c r="C11" s="139"/>
      <c r="D11" s="136" t="s">
        <v>86</v>
      </c>
      <c r="E11" s="136"/>
      <c r="F11" s="77"/>
    </row>
    <row r="12" spans="1:15" x14ac:dyDescent="0.2">
      <c r="A12" s="78">
        <v>46113</v>
      </c>
      <c r="B12" s="138" t="s">
        <v>87</v>
      </c>
      <c r="C12" s="139"/>
      <c r="D12" s="136"/>
      <c r="E12" s="136"/>
      <c r="F12" s="77"/>
    </row>
    <row r="13" spans="1:15" x14ac:dyDescent="0.2">
      <c r="A13" s="78">
        <v>46113</v>
      </c>
      <c r="B13" s="138"/>
      <c r="C13" s="139"/>
      <c r="D13" s="136"/>
      <c r="E13" s="136"/>
      <c r="F13" s="77"/>
    </row>
    <row r="14" spans="1:15" x14ac:dyDescent="0.2">
      <c r="A14" s="78">
        <v>46113</v>
      </c>
      <c r="B14" s="138"/>
      <c r="C14" s="139"/>
      <c r="D14" s="136"/>
      <c r="E14" s="136"/>
      <c r="F14" s="77"/>
    </row>
    <row r="15" spans="1:15" x14ac:dyDescent="0.2">
      <c r="A15" s="78">
        <v>46113</v>
      </c>
      <c r="B15" s="143"/>
      <c r="C15" s="144"/>
      <c r="D15" s="136"/>
      <c r="E15" s="136"/>
      <c r="F15" s="77"/>
    </row>
    <row r="16" spans="1:15" ht="13.2" thickBot="1" x14ac:dyDescent="0.25">
      <c r="A16" s="78">
        <v>46113</v>
      </c>
      <c r="B16" s="138"/>
      <c r="C16" s="139"/>
      <c r="D16" s="136"/>
      <c r="E16" s="136"/>
      <c r="F16" s="77"/>
    </row>
    <row r="17" spans="1:6" ht="13.5" customHeight="1" thickBot="1" x14ac:dyDescent="0.25">
      <c r="A17" s="140" t="s">
        <v>88</v>
      </c>
      <c r="B17" s="141"/>
      <c r="C17" s="141"/>
      <c r="D17" s="141"/>
      <c r="E17" s="142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45"/>
      <c r="B4" s="145"/>
    </row>
    <row r="5" spans="1:6" x14ac:dyDescent="0.2">
      <c r="A5" s="37" t="s">
        <v>0</v>
      </c>
      <c r="B5" s="23" t="s">
        <v>67</v>
      </c>
    </row>
    <row r="6" spans="1:6" x14ac:dyDescent="0.2">
      <c r="A6" s="79" t="s">
        <v>89</v>
      </c>
      <c r="B6" s="79"/>
    </row>
    <row r="7" spans="1:6" x14ac:dyDescent="0.2">
      <c r="A7" s="95" t="s">
        <v>90</v>
      </c>
      <c r="B7" s="95"/>
    </row>
    <row r="8" spans="1:6" x14ac:dyDescent="0.2">
      <c r="A8" s="96"/>
      <c r="B8" s="85"/>
    </row>
    <row r="9" spans="1:6" ht="27.45" customHeight="1" x14ac:dyDescent="0.2">
      <c r="A9" s="158" t="s">
        <v>91</v>
      </c>
      <c r="B9" s="158"/>
      <c r="C9" s="158"/>
      <c r="D9" s="158"/>
      <c r="E9" s="158"/>
      <c r="F9" s="158"/>
    </row>
    <row r="10" spans="1:6" ht="25.2" x14ac:dyDescent="0.2">
      <c r="A10" s="87" t="s">
        <v>92</v>
      </c>
      <c r="B10" s="87" t="s">
        <v>93</v>
      </c>
      <c r="C10" s="87" t="s">
        <v>94</v>
      </c>
      <c r="D10" s="87" t="s">
        <v>95</v>
      </c>
      <c r="E10" s="87" t="s">
        <v>96</v>
      </c>
      <c r="F10" s="87" t="s">
        <v>97</v>
      </c>
    </row>
    <row r="11" spans="1:6" x14ac:dyDescent="0.2">
      <c r="A11" s="87" t="s">
        <v>98</v>
      </c>
      <c r="B11" s="117"/>
      <c r="C11" s="117"/>
      <c r="D11" s="87"/>
      <c r="E11" s="87"/>
      <c r="F11" s="87" t="s">
        <v>99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0</v>
      </c>
      <c r="E14" s="89"/>
      <c r="F14" s="91"/>
    </row>
    <row r="15" spans="1:6" ht="13.2" thickBot="1" x14ac:dyDescent="0.25">
      <c r="A15" s="149"/>
      <c r="B15" s="150"/>
      <c r="C15" s="150"/>
      <c r="D15" s="150"/>
      <c r="E15" s="150"/>
      <c r="F15" s="150"/>
    </row>
    <row r="16" spans="1:6" x14ac:dyDescent="0.2">
      <c r="A16" s="159" t="s">
        <v>100</v>
      </c>
      <c r="B16" s="160"/>
      <c r="C16" s="160"/>
      <c r="D16" s="160"/>
      <c r="E16" s="160"/>
      <c r="F16" s="161"/>
    </row>
    <row r="17" spans="1:6" x14ac:dyDescent="0.2">
      <c r="A17" s="146"/>
      <c r="B17" s="147"/>
      <c r="C17" s="147"/>
      <c r="D17" s="147"/>
      <c r="E17" s="147"/>
      <c r="F17" s="148"/>
    </row>
    <row r="18" spans="1:6" x14ac:dyDescent="0.2">
      <c r="A18" s="146"/>
      <c r="B18" s="147"/>
      <c r="C18" s="147"/>
      <c r="D18" s="147"/>
      <c r="E18" s="147"/>
      <c r="F18" s="148"/>
    </row>
    <row r="19" spans="1:6" ht="13.2" thickBot="1" x14ac:dyDescent="0.25">
      <c r="A19" s="149"/>
      <c r="B19" s="150"/>
      <c r="C19" s="150"/>
      <c r="D19" s="150"/>
      <c r="E19" s="150"/>
      <c r="F19" s="151"/>
    </row>
    <row r="20" spans="1:6" ht="13.2" thickBot="1" x14ac:dyDescent="0.25"/>
    <row r="21" spans="1:6" x14ac:dyDescent="0.2">
      <c r="A21" s="92" t="s">
        <v>3</v>
      </c>
      <c r="B21" s="152"/>
      <c r="C21" s="152"/>
      <c r="D21" s="152"/>
      <c r="E21" s="152"/>
      <c r="F21" s="153"/>
    </row>
    <row r="22" spans="1:6" x14ac:dyDescent="0.2">
      <c r="A22" s="93" t="s">
        <v>101</v>
      </c>
      <c r="B22" s="154"/>
      <c r="C22" s="154"/>
      <c r="D22" s="154"/>
      <c r="E22" s="154"/>
      <c r="F22" s="155"/>
    </row>
    <row r="23" spans="1:6" ht="13.2" thickBot="1" x14ac:dyDescent="0.25">
      <c r="A23" s="94" t="s">
        <v>102</v>
      </c>
      <c r="B23" s="156"/>
      <c r="C23" s="156"/>
      <c r="D23" s="156"/>
      <c r="E23" s="156"/>
      <c r="F23" s="157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0" ht="15" thickBot="1" x14ac:dyDescent="0.35">
      <c r="B2" s="66" t="s">
        <v>14</v>
      </c>
      <c r="D2" s="53" t="s">
        <v>103</v>
      </c>
      <c r="F2" s="52" t="s">
        <v>7</v>
      </c>
      <c r="H2" s="52" t="s">
        <v>104</v>
      </c>
      <c r="J2" s="53" t="s">
        <v>70</v>
      </c>
    </row>
    <row r="3" spans="2:10" x14ac:dyDescent="0.3">
      <c r="B3" s="66" t="s">
        <v>105</v>
      </c>
      <c r="D3" s="71" t="s">
        <v>106</v>
      </c>
      <c r="F3" s="55" t="s">
        <v>69</v>
      </c>
      <c r="H3" s="68" t="s">
        <v>107</v>
      </c>
      <c r="I3" s="99"/>
      <c r="J3" s="56" t="s">
        <v>16</v>
      </c>
    </row>
    <row r="4" spans="2:10" x14ac:dyDescent="0.3">
      <c r="B4" s="66" t="s">
        <v>108</v>
      </c>
      <c r="D4" s="54" t="s">
        <v>109</v>
      </c>
      <c r="F4" s="57" t="s">
        <v>110</v>
      </c>
      <c r="H4" s="101" t="s">
        <v>111</v>
      </c>
      <c r="I4" s="68"/>
      <c r="J4" s="58" t="s">
        <v>70</v>
      </c>
    </row>
    <row r="5" spans="2:10" x14ac:dyDescent="0.3">
      <c r="B5" s="66" t="s">
        <v>112</v>
      </c>
      <c r="D5" s="71" t="s">
        <v>113</v>
      </c>
      <c r="F5" s="59" t="s">
        <v>114</v>
      </c>
      <c r="H5" s="68" t="s">
        <v>115</v>
      </c>
      <c r="I5" s="100"/>
    </row>
    <row r="6" spans="2:10" x14ac:dyDescent="0.3">
      <c r="B6" s="66" t="s">
        <v>116</v>
      </c>
      <c r="D6" s="54" t="s">
        <v>117</v>
      </c>
      <c r="F6" s="57" t="s">
        <v>118</v>
      </c>
      <c r="H6" s="99" t="s">
        <v>119</v>
      </c>
      <c r="I6" s="101"/>
    </row>
    <row r="7" spans="2:10" x14ac:dyDescent="0.3">
      <c r="B7" s="66" t="s">
        <v>120</v>
      </c>
      <c r="D7" s="71" t="s">
        <v>121</v>
      </c>
      <c r="F7" s="59" t="s">
        <v>15</v>
      </c>
      <c r="H7" s="67" t="s">
        <v>122</v>
      </c>
      <c r="I7" s="102"/>
    </row>
    <row r="8" spans="2:10" x14ac:dyDescent="0.3">
      <c r="B8" s="66" t="s">
        <v>123</v>
      </c>
      <c r="D8" s="54" t="s">
        <v>124</v>
      </c>
      <c r="F8" s="57" t="s">
        <v>125</v>
      </c>
      <c r="H8" s="102" t="s">
        <v>126</v>
      </c>
      <c r="I8" s="99"/>
      <c r="J8" s="52" t="s">
        <v>127</v>
      </c>
    </row>
    <row r="9" spans="2:10" x14ac:dyDescent="0.3">
      <c r="B9" s="66" t="s">
        <v>128</v>
      </c>
      <c r="D9" s="71" t="s">
        <v>129</v>
      </c>
      <c r="F9" s="59" t="s">
        <v>130</v>
      </c>
      <c r="H9" s="103" t="s">
        <v>131</v>
      </c>
      <c r="I9" s="99"/>
      <c r="J9" s="52" t="s">
        <v>83</v>
      </c>
    </row>
    <row r="10" spans="2:10" x14ac:dyDescent="0.3">
      <c r="B10" s="66" t="s">
        <v>132</v>
      </c>
      <c r="D10" s="54" t="s">
        <v>133</v>
      </c>
      <c r="F10" s="57" t="s">
        <v>134</v>
      </c>
      <c r="H10" s="107" t="s">
        <v>135</v>
      </c>
      <c r="I10" s="102"/>
    </row>
    <row r="11" spans="2:10" x14ac:dyDescent="0.3">
      <c r="B11" s="66" t="s">
        <v>136</v>
      </c>
      <c r="D11" s="71" t="s">
        <v>137</v>
      </c>
      <c r="F11" s="59" t="s">
        <v>138</v>
      </c>
      <c r="H11" s="103" t="s">
        <v>139</v>
      </c>
      <c r="I11" s="102"/>
      <c r="J11" s="52" t="s">
        <v>140</v>
      </c>
    </row>
    <row r="12" spans="2:10" x14ac:dyDescent="0.3">
      <c r="B12" s="66" t="s">
        <v>141</v>
      </c>
      <c r="F12" s="57" t="s">
        <v>142</v>
      </c>
      <c r="H12" s="107" t="s">
        <v>143</v>
      </c>
      <c r="I12" s="103"/>
      <c r="J12" s="52" t="s">
        <v>144</v>
      </c>
    </row>
    <row r="13" spans="2:10" x14ac:dyDescent="0.3">
      <c r="B13" s="66" t="s">
        <v>145</v>
      </c>
      <c r="F13" s="59" t="s">
        <v>146</v>
      </c>
      <c r="H13" s="104" t="s">
        <v>147</v>
      </c>
      <c r="I13" s="103"/>
    </row>
    <row r="14" spans="2:10" x14ac:dyDescent="0.3">
      <c r="B14" s="66" t="s">
        <v>148</v>
      </c>
      <c r="D14" s="60"/>
      <c r="F14" s="57" t="s">
        <v>149</v>
      </c>
      <c r="H14" s="105" t="s">
        <v>150</v>
      </c>
      <c r="I14" s="104"/>
    </row>
    <row r="15" spans="2:10" x14ac:dyDescent="0.3">
      <c r="B15" s="66" t="s">
        <v>151</v>
      </c>
      <c r="D15" s="61"/>
      <c r="F15" s="59" t="s">
        <v>152</v>
      </c>
      <c r="H15" s="103" t="s">
        <v>153</v>
      </c>
      <c r="I15" s="103"/>
    </row>
    <row r="16" spans="2:10" x14ac:dyDescent="0.3">
      <c r="B16" s="66" t="s">
        <v>154</v>
      </c>
      <c r="D16" s="61"/>
      <c r="F16" s="57" t="s">
        <v>155</v>
      </c>
      <c r="H16" s="104" t="s">
        <v>156</v>
      </c>
      <c r="I16" s="105"/>
    </row>
    <row r="17" spans="2:9" x14ac:dyDescent="0.3">
      <c r="B17" s="66" t="s">
        <v>157</v>
      </c>
      <c r="D17" s="61"/>
      <c r="F17" s="59" t="s">
        <v>158</v>
      </c>
      <c r="H17" s="67" t="s">
        <v>159</v>
      </c>
      <c r="I17" s="103"/>
    </row>
    <row r="18" spans="2:9" x14ac:dyDescent="0.3">
      <c r="B18" s="66" t="s">
        <v>160</v>
      </c>
      <c r="D18" s="61"/>
      <c r="F18" s="57" t="s">
        <v>161</v>
      </c>
      <c r="H18" s="108" t="s">
        <v>162</v>
      </c>
      <c r="I18" s="105"/>
    </row>
    <row r="19" spans="2:9" x14ac:dyDescent="0.3">
      <c r="B19" s="66" t="s">
        <v>163</v>
      </c>
      <c r="D19" s="61"/>
      <c r="F19" s="59" t="s">
        <v>35</v>
      </c>
      <c r="H19" s="70" t="s">
        <v>164</v>
      </c>
      <c r="I19" s="106"/>
    </row>
    <row r="20" spans="2:9" x14ac:dyDescent="0.3">
      <c r="B20" s="66" t="s">
        <v>165</v>
      </c>
      <c r="D20" s="61"/>
      <c r="F20" s="57" t="s">
        <v>166</v>
      </c>
      <c r="H20" s="70" t="s">
        <v>167</v>
      </c>
      <c r="I20" s="104"/>
    </row>
    <row r="21" spans="2:9" x14ac:dyDescent="0.3">
      <c r="B21" s="66" t="s">
        <v>168</v>
      </c>
      <c r="D21" s="61"/>
      <c r="F21" s="59" t="s">
        <v>169</v>
      </c>
      <c r="H21" s="112" t="s">
        <v>170</v>
      </c>
      <c r="I21" s="102"/>
    </row>
    <row r="22" spans="2:9" ht="27.6" x14ac:dyDescent="0.3">
      <c r="B22" s="66" t="s">
        <v>171</v>
      </c>
      <c r="D22" s="61"/>
      <c r="F22" s="57" t="s">
        <v>172</v>
      </c>
      <c r="H22" s="118" t="s">
        <v>173</v>
      </c>
      <c r="I22" s="107"/>
    </row>
    <row r="23" spans="2:9" x14ac:dyDescent="0.3">
      <c r="B23" s="66" t="s">
        <v>174</v>
      </c>
      <c r="D23" s="61"/>
      <c r="F23" s="59" t="s">
        <v>175</v>
      </c>
      <c r="H23" s="110" t="s">
        <v>67</v>
      </c>
      <c r="I23" s="108"/>
    </row>
    <row r="24" spans="2:9" x14ac:dyDescent="0.3">
      <c r="B24" s="66" t="s">
        <v>176</v>
      </c>
      <c r="D24" s="61"/>
      <c r="F24" s="57" t="s">
        <v>177</v>
      </c>
      <c r="H24" s="70" t="s">
        <v>178</v>
      </c>
      <c r="I24" s="109"/>
    </row>
    <row r="25" spans="2:9" x14ac:dyDescent="0.3">
      <c r="B25" s="66" t="s">
        <v>179</v>
      </c>
      <c r="D25" s="61"/>
      <c r="F25" s="59" t="s">
        <v>180</v>
      </c>
      <c r="H25" s="112" t="s">
        <v>181</v>
      </c>
      <c r="I25" s="110"/>
    </row>
    <row r="26" spans="2:9" x14ac:dyDescent="0.3">
      <c r="B26" s="66" t="s">
        <v>182</v>
      </c>
      <c r="F26" s="57" t="s">
        <v>183</v>
      </c>
      <c r="H26" s="70" t="s">
        <v>184</v>
      </c>
    </row>
    <row r="27" spans="2:9" x14ac:dyDescent="0.3">
      <c r="B27" s="66" t="s">
        <v>185</v>
      </c>
      <c r="D27" s="61"/>
      <c r="F27" s="59" t="s">
        <v>186</v>
      </c>
      <c r="H27" s="109" t="s">
        <v>187</v>
      </c>
      <c r="I27" s="108"/>
    </row>
    <row r="28" spans="2:9" x14ac:dyDescent="0.3">
      <c r="B28" s="66" t="s">
        <v>188</v>
      </c>
      <c r="D28" s="61"/>
      <c r="F28" s="57" t="s">
        <v>189</v>
      </c>
      <c r="H28" s="112" t="s">
        <v>190</v>
      </c>
      <c r="I28" s="70"/>
    </row>
    <row r="29" spans="2:9" x14ac:dyDescent="0.3">
      <c r="B29" s="66" t="s">
        <v>191</v>
      </c>
      <c r="F29" s="59" t="s">
        <v>192</v>
      </c>
      <c r="H29" s="110" t="s">
        <v>193</v>
      </c>
      <c r="I29" s="111"/>
    </row>
    <row r="30" spans="2:9" x14ac:dyDescent="0.3">
      <c r="B30" s="66" t="s">
        <v>194</v>
      </c>
      <c r="F30" s="57" t="s">
        <v>195</v>
      </c>
      <c r="H30" s="69" t="s">
        <v>196</v>
      </c>
      <c r="I30" s="109"/>
    </row>
    <row r="31" spans="2:9" x14ac:dyDescent="0.3">
      <c r="B31" s="66" t="s">
        <v>197</v>
      </c>
      <c r="F31" s="59" t="s">
        <v>198</v>
      </c>
      <c r="H31" s="69" t="s">
        <v>199</v>
      </c>
    </row>
    <row r="32" spans="2:9" x14ac:dyDescent="0.3">
      <c r="B32" s="66" t="s">
        <v>200</v>
      </c>
      <c r="F32" s="57" t="s">
        <v>201</v>
      </c>
      <c r="H32" s="111" t="s">
        <v>202</v>
      </c>
      <c r="I32" s="110"/>
    </row>
    <row r="33" spans="2:9" x14ac:dyDescent="0.3">
      <c r="B33" s="66" t="s">
        <v>203</v>
      </c>
      <c r="F33" s="59" t="s">
        <v>98</v>
      </c>
      <c r="H33" s="119" t="s">
        <v>204</v>
      </c>
      <c r="I33" s="110"/>
    </row>
    <row r="34" spans="2:9" x14ac:dyDescent="0.3">
      <c r="B34" s="66" t="s">
        <v>205</v>
      </c>
      <c r="F34" s="57" t="s">
        <v>206</v>
      </c>
      <c r="H34" s="109" t="s">
        <v>1</v>
      </c>
      <c r="I34" s="69"/>
    </row>
    <row r="35" spans="2:9" x14ac:dyDescent="0.3">
      <c r="B35" s="66" t="s">
        <v>207</v>
      </c>
      <c r="F35" s="59" t="s">
        <v>208</v>
      </c>
      <c r="H35" s="114" t="s">
        <v>209</v>
      </c>
      <c r="I35" s="109"/>
    </row>
    <row r="36" spans="2:9" x14ac:dyDescent="0.3">
      <c r="B36" s="66" t="s">
        <v>210</v>
      </c>
      <c r="F36" s="57" t="s">
        <v>211</v>
      </c>
      <c r="H36" s="111" t="s">
        <v>212</v>
      </c>
      <c r="I36" s="102"/>
    </row>
    <row r="37" spans="2:9" x14ac:dyDescent="0.3">
      <c r="B37" s="66" t="s">
        <v>213</v>
      </c>
      <c r="F37" s="57" t="s">
        <v>214</v>
      </c>
      <c r="H37" s="112" t="s">
        <v>215</v>
      </c>
      <c r="I37" s="110"/>
    </row>
    <row r="38" spans="2:9" x14ac:dyDescent="0.3">
      <c r="B38" s="66" t="s">
        <v>216</v>
      </c>
      <c r="F38" s="57" t="s">
        <v>23</v>
      </c>
      <c r="H38" s="109" t="s">
        <v>217</v>
      </c>
      <c r="I38" s="109"/>
    </row>
    <row r="39" spans="2:9" ht="27.6" x14ac:dyDescent="0.3">
      <c r="B39" s="66" t="s">
        <v>218</v>
      </c>
      <c r="F39" s="57" t="s">
        <v>219</v>
      </c>
      <c r="H39" s="109" t="s">
        <v>220</v>
      </c>
      <c r="I39" s="111"/>
    </row>
    <row r="40" spans="2:9" x14ac:dyDescent="0.3">
      <c r="B40" s="66" t="s">
        <v>221</v>
      </c>
      <c r="F40" s="59" t="s">
        <v>222</v>
      </c>
      <c r="H40" s="69" t="s">
        <v>223</v>
      </c>
      <c r="I40" s="112"/>
    </row>
    <row r="41" spans="2:9" x14ac:dyDescent="0.3">
      <c r="B41" s="66" t="s">
        <v>224</v>
      </c>
      <c r="D41" s="63"/>
      <c r="H41" s="111" t="s">
        <v>225</v>
      </c>
      <c r="I41" s="112"/>
    </row>
    <row r="42" spans="2:9" x14ac:dyDescent="0.3">
      <c r="B42" s="66" t="s">
        <v>226</v>
      </c>
      <c r="H42" s="112" t="s">
        <v>227</v>
      </c>
      <c r="I42" s="109"/>
    </row>
    <row r="43" spans="2:9" x14ac:dyDescent="0.3">
      <c r="B43" s="66" t="s">
        <v>228</v>
      </c>
      <c r="H43" s="109" t="s">
        <v>229</v>
      </c>
      <c r="I43" s="111"/>
    </row>
    <row r="44" spans="2:9" x14ac:dyDescent="0.3">
      <c r="B44" s="121" t="s">
        <v>230</v>
      </c>
      <c r="H44" s="111" t="s">
        <v>231</v>
      </c>
    </row>
    <row r="45" spans="2:9" x14ac:dyDescent="0.3">
      <c r="H45" s="112" t="s">
        <v>232</v>
      </c>
      <c r="I45" s="110"/>
    </row>
    <row r="46" spans="2:9" x14ac:dyDescent="0.3">
      <c r="H46" s="70" t="s">
        <v>233</v>
      </c>
      <c r="I46" s="113"/>
    </row>
    <row r="47" spans="2:9" x14ac:dyDescent="0.3">
      <c r="B47" s="62"/>
      <c r="H47" s="112" t="s">
        <v>234</v>
      </c>
      <c r="I47" s="112"/>
    </row>
    <row r="48" spans="2:9" x14ac:dyDescent="0.3">
      <c r="H48" s="70" t="s">
        <v>235</v>
      </c>
      <c r="I48" s="112"/>
    </row>
    <row r="49" spans="8:9" x14ac:dyDescent="0.3">
      <c r="H49" s="109" t="s">
        <v>236</v>
      </c>
      <c r="I49" s="112"/>
    </row>
    <row r="50" spans="8:9" x14ac:dyDescent="0.3">
      <c r="H50" s="70" t="s">
        <v>237</v>
      </c>
      <c r="I50" s="112"/>
    </row>
    <row r="51" spans="8:9" x14ac:dyDescent="0.3">
      <c r="H51" s="69" t="s">
        <v>238</v>
      </c>
      <c r="I51" s="112"/>
    </row>
    <row r="52" spans="8:9" x14ac:dyDescent="0.3">
      <c r="H52" s="112" t="s">
        <v>239</v>
      </c>
    </row>
    <row r="53" spans="8:9" x14ac:dyDescent="0.3">
      <c r="H53" s="109" t="s">
        <v>240</v>
      </c>
      <c r="I53" s="112"/>
    </row>
    <row r="54" spans="8:9" x14ac:dyDescent="0.3">
      <c r="H54" s="69" t="s">
        <v>241</v>
      </c>
      <c r="I54" s="111"/>
    </row>
    <row r="55" spans="8:9" x14ac:dyDescent="0.3">
      <c r="H55" s="70" t="s">
        <v>242</v>
      </c>
      <c r="I55" s="111"/>
    </row>
    <row r="56" spans="8:9" x14ac:dyDescent="0.3">
      <c r="H56" s="109" t="s">
        <v>243</v>
      </c>
      <c r="I56" s="70"/>
    </row>
    <row r="57" spans="8:9" x14ac:dyDescent="0.3">
      <c r="H57" s="70" t="s">
        <v>244</v>
      </c>
      <c r="I57" s="112"/>
    </row>
    <row r="58" spans="8:9" x14ac:dyDescent="0.3">
      <c r="H58" s="70" t="s">
        <v>245</v>
      </c>
      <c r="I58" s="112"/>
    </row>
    <row r="59" spans="8:9" x14ac:dyDescent="0.3">
      <c r="H59" s="112" t="s">
        <v>246</v>
      </c>
      <c r="I59" s="115"/>
    </row>
    <row r="60" spans="8:9" x14ac:dyDescent="0.3">
      <c r="H60" s="115" t="s">
        <v>247</v>
      </c>
      <c r="I60" s="69"/>
    </row>
    <row r="61" spans="8:9" x14ac:dyDescent="0.3">
      <c r="H61" s="69" t="s">
        <v>248</v>
      </c>
      <c r="I61" s="110"/>
    </row>
    <row r="62" spans="8:9" x14ac:dyDescent="0.3">
      <c r="H62" s="69" t="s">
        <v>249</v>
      </c>
      <c r="I62" s="69"/>
    </row>
    <row r="63" spans="8:9" x14ac:dyDescent="0.3">
      <c r="H63" s="110" t="s">
        <v>250</v>
      </c>
    </row>
    <row r="64" spans="8:9" x14ac:dyDescent="0.3">
      <c r="H64" s="120" t="s">
        <v>251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CE9238-FF1F-4C61-A5D2-EFCC7F17A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BD9242-4DDC-4F33-9117-AF226C9C4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69B405-5052-432A-9FF7-5BE9AD104741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2026-08-13T12:53:47Z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