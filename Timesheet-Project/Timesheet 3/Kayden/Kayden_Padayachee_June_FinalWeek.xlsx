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advtechonline-my.sharepoint.com/personal/st10385543_vcconnect_edu_za/Documents/Desktop/"/>
    </mc:Choice>
  </mc:AlternateContent>
  <xr:revisionPtr revIDLastSave="13" documentId="8_{77CEB0F7-DE50-4D58-A9AD-0D6ECC54C155}" xr6:coauthVersionLast="47" xr6:coauthVersionMax="47" xr10:uidLastSave="{BF9B995F-587E-4BB2-8758-6556F7118533}"/>
  <bookViews>
    <workbookView xWindow="-108" yWindow="-108" windowWidth="23256" windowHeight="12456" firstSheet="1" activeTab="1" xr2:uid="{1C8F8026-B005-4B08-94D3-371A77F74D8F}"/>
  </bookViews>
  <sheets>
    <sheet name="May" sheetId="1" r:id="rId1"/>
    <sheet name="Jun" sheetId="3" r:id="rId2"/>
    <sheet name="Jul" sheetId="4" r:id="rId3"/>
    <sheet name="Aug" sheetId="5" r:id="rId4"/>
    <sheet name="Sep" sheetId="6" r:id="rId5"/>
    <sheet name="Expense Claim" sheetId="8" r:id="rId6"/>
    <sheet name="Leave" sheetId="9" r:id="rId7"/>
    <sheet name="Key" sheetId="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3" l="1"/>
  <c r="H43" i="3"/>
  <c r="H42" i="3"/>
  <c r="H41" i="3"/>
  <c r="H40" i="3"/>
  <c r="H39" i="3"/>
  <c r="H38" i="3"/>
  <c r="H37" i="3"/>
  <c r="H36" i="3"/>
  <c r="H35" i="3"/>
  <c r="H17" i="3"/>
  <c r="H15" i="3"/>
  <c r="H13" i="3"/>
  <c r="H11" i="3"/>
  <c r="H9" i="3"/>
  <c r="H32" i="3"/>
  <c r="H31" i="3"/>
  <c r="H30" i="3"/>
  <c r="H29" i="3"/>
  <c r="H28" i="3"/>
  <c r="H27" i="3"/>
  <c r="H26" i="3"/>
  <c r="H25" i="3"/>
  <c r="H24" i="3"/>
  <c r="H23" i="3"/>
  <c r="H22" i="3"/>
  <c r="H21" i="3"/>
  <c r="H33" i="3"/>
  <c r="H34" i="3"/>
  <c r="H61" i="3"/>
  <c r="H56" i="3"/>
  <c r="H54" i="3"/>
  <c r="H52" i="3"/>
  <c r="H51" i="3"/>
  <c r="H49" i="3"/>
  <c r="H47" i="3"/>
  <c r="H9" i="6"/>
  <c r="H11" i="5"/>
  <c r="F44" i="6"/>
  <c r="F45" i="4"/>
  <c r="F44" i="4"/>
  <c r="F67" i="3"/>
  <c r="F43" i="6"/>
  <c r="H32" i="6"/>
  <c r="F45" i="5"/>
  <c r="F44" i="5"/>
  <c r="H9" i="5"/>
  <c r="H37" i="5"/>
  <c r="H38" i="5"/>
  <c r="H39" i="5"/>
  <c r="H9" i="4"/>
  <c r="H10" i="1"/>
  <c r="H44" i="1"/>
  <c r="H39" i="4"/>
  <c r="D14" i="9"/>
  <c r="F17" i="8"/>
  <c r="B6" i="8" s="1"/>
  <c r="H48" i="3" l="1"/>
  <c r="H12" i="4" l="1"/>
  <c r="H10" i="4"/>
  <c r="H11" i="4"/>
  <c r="H50" i="3"/>
  <c r="H11" i="1"/>
  <c r="H10" i="5"/>
  <c r="H9" i="1" l="1"/>
  <c r="H17" i="4"/>
  <c r="H18" i="4"/>
  <c r="H16" i="4"/>
  <c r="H15" i="4"/>
  <c r="H14" i="4"/>
  <c r="H13" i="4"/>
  <c r="H62" i="3"/>
  <c r="H59" i="3"/>
  <c r="H58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9" i="3"/>
  <c r="H20" i="3"/>
  <c r="H44" i="3"/>
  <c r="H45" i="3"/>
  <c r="H46" i="3"/>
  <c r="H53" i="3"/>
  <c r="H55" i="3"/>
  <c r="H57" i="3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F49" i="1" l="1"/>
  <c r="F50" i="1"/>
  <c r="H10" i="6"/>
  <c r="H11" i="6"/>
  <c r="H12" i="6"/>
  <c r="F68" i="3" l="1"/>
  <c r="F69" i="3" s="1"/>
  <c r="F46" i="4"/>
  <c r="F46" i="5"/>
  <c r="F45" i="6"/>
  <c r="B6" i="6"/>
  <c r="B6" i="5"/>
  <c r="B6" i="4"/>
  <c r="B6" i="3"/>
  <c r="F51" i="1"/>
  <c r="B6" i="1"/>
</calcChain>
</file>

<file path=xl/sharedStrings.xml><?xml version="1.0" encoding="utf-8"?>
<sst xmlns="http://schemas.openxmlformats.org/spreadsheetml/2006/main" count="703" uniqueCount="245">
  <si>
    <t>Consultant</t>
  </si>
  <si>
    <t xml:space="preserve">Kayden 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</si>
  <si>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</si>
  <si>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</si>
  <si>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</si>
  <si>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</si>
  <si>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</si>
  <si>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</si>
  <si>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</si>
  <si>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</si>
  <si>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</si>
  <si>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</si>
  <si>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</si>
  <si>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</si>
  <si>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Internal Sambe</t>
  </si>
  <si>
    <t>Public Holiday</t>
  </si>
  <si>
    <t>Non-Billable</t>
  </si>
  <si>
    <t>Worker's Day</t>
  </si>
  <si>
    <t>Saturday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</si>
  <si>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</si>
  <si>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</si>
  <si>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</si>
  <si>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</si>
  <si>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</si>
  <si>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</si>
  <si>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</si>
  <si>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</si>
  <si>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</si>
  <si>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</si>
  <si>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</si>
  <si>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</si>
  <si>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</si>
  <si>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</si>
  <si>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Meeting</t>
  </si>
  <si>
    <t>High Performers Daily Standup.
Udemy Course | Querying Microsft SQL Server with T-SQL.
Mid-day Check in, spoke about the course.
Udemy Course | Querying Microsft SQL Server with T-SQL.</t>
  </si>
  <si>
    <t>Training</t>
  </si>
  <si>
    <t>Udemy Course | Querying Microsft SQL Server with T-SQL.
High Performers Retrospective, we spoke about the course.
Udemy Course | Querying Microsft SQL Server with T-SQL.</t>
  </si>
  <si>
    <t>Udemy Course | Querying Microsft SQL Server with T-SQL.
High Performers Retrospective
Udemy Course | Querying Microsft SQL Server with T-SQL.</t>
  </si>
  <si>
    <t>High Performers Daily Standup.
Udemy Course | Querying Microsft SQL Server with T-SQL.
Had a meeting with previous grads
Udemy Course | Querying Microsft SQL Server with T-SQL.</t>
  </si>
  <si>
    <t>Udemy Course | Querying Microsft SQL Server with T-SQL.
High Performers Retrospective
Internal Training | Treasury Connect</t>
  </si>
  <si>
    <t>High Performers Daily Standup.
Udemy Course | Effective communication in the workplace.
Mid-day Check in, spoke about the course.
Udemy Course | Effective communication in the workplace.</t>
  </si>
  <si>
    <t>Udemy Course | Effective communication in the workplace.
High Performers Retrospective</t>
  </si>
  <si>
    <t>High Performers Daily Standup.
Project | Github Pull Request Notification Integration with Microsoft Teams.
Mid-day Check-in, discussed the projects and went through the process.
Project | Github Pull Request Notification Integration with Microsoft Teams.</t>
  </si>
  <si>
    <t>Project | Github Pull Request Notification Integration with Microsoft Teams.
High Performers Retrospective</t>
  </si>
  <si>
    <t xml:space="preserve">High-Performers Daily Standup.
Udemy Course | SSI Package Part 1 | Mastering SQL Server 2016 Integration Services (SSIS).
Mid-day Check-in
Project Presentation | GitHub Pull Request Notification Integration with Microsoft Teams. </t>
  </si>
  <si>
    <t>SQL Project | Expose SQL Database to public Internet using utilty tools for a Tunnel (project scope extended to using Github Actions Deployment templates)
High Performers Retrospective</t>
  </si>
  <si>
    <t>High-Performers Daily Standup.
SQL Project | Expose SQL Database to public Internet using utilty tools for a Tunnel (project scope extended to using Github Actions Deployment templates).
Mid-day Check-in.
SQL Project | Expose SQL Database to public Internet using utilty tools for a Tunnel (project scope extended to using Github Actions Deployment templates).</t>
  </si>
  <si>
    <t>SQL Project | Expose SQL Database to public Internet using utilty tools for a Tunnel (project scope extended to using Github Actions Deployment templates).
High-Performers Retrospective</t>
  </si>
  <si>
    <t>High-Performers Daily Standup.
SQL Project | Expose SQL Database to public Internet using utilty tools for a Tunnel (project scope extended to using Github Actions Deployment templates).</t>
  </si>
  <si>
    <t>Shaila and Grad Monthly Check-in</t>
  </si>
  <si>
    <t>Mid-day Check-in
SQL Project | Expose SQL Database to public Internet using utilty tools for a Tunnel (project scope extended to using Github Actions Deployment templates).</t>
  </si>
  <si>
    <t>High-Performers Daily Standup.
SQL Project | Expose SQL Database to public Internet using utilty tools for a Tunnel (project scope extended to using Github Actions Deployment templates).
Mid-Day Check-in. 
Udemy Course | SSI Package Part 1 | Mastering SQL Server 2016 Integration Services (SSIS).</t>
  </si>
  <si>
    <t>Udemy Course | SSI Package Part 1 | Mastering SQL Server 2016 Integration Services (SSIS).
High-Performers Retrospective</t>
  </si>
  <si>
    <t>High-Performers Daily Standup
Udemy Course | DevOps, CI/CD(Continuous Integration/Delivery) for Beginners, and completed it.</t>
  </si>
  <si>
    <t>High-Performers Daily Standup
Udemy Course | SSI Package Part 1 | Mastering SQL Server 2016 Integration Services (SSIS).
Mid-Day Check-in
Udemy Course | SSI Package Part 1 | Mastering SQL Server 2016 Integration Services (SSIS).</t>
  </si>
  <si>
    <t>Youth Day</t>
  </si>
  <si>
    <t>High-Performers Daily  Standup
Udemy Course | Soft Skills: The 11 Essential Career Soft Skill.
Project | Automated Timesheet Data Migration Using SSIS Packages.
Mid-Day Check-in
Project | Automated Timesheet Data Migration Using SSIS Packages.</t>
  </si>
  <si>
    <t>Project | Automated Timesheet Data Migration Using SSIS Packages.
High-Performers Retrospective
Project | Automated Timesheet Data Migration Using SSIS Packages.</t>
  </si>
  <si>
    <t>High-Performers Daily Standup
Udemy Course | Soft Skills: The 11 Essential Career Soft Skill.
Project | Automated Timesheet Data Migration Using SSIS Packages.
Mid-Day check-in
Project | Automated Timesheet Data Migration Using SSIS Packages.</t>
  </si>
  <si>
    <t>Project | Automated Timesheet Data Migration Using SSIS Packages.
High-Performers Retrospective</t>
  </si>
  <si>
    <t>High-Performers Daily Standup
Project | Automated Timesheet Data Migration Using SSIS Packages.
Mid-Day check-in
Project | Automated Timesheet Data Migration Using SSIS Packages.</t>
  </si>
  <si>
    <t>Udemy Course | Soft Skills: The 11 Essential Career Soft Skill.
Project | Automated Timesheet Data Migration Using SSIS Packages.
High-Performers Retrospective</t>
  </si>
  <si>
    <t>Internal Training | Sambe OCR and PowerBI with Code</t>
  </si>
  <si>
    <t>.NET code</t>
  </si>
  <si>
    <t>Billable</t>
  </si>
  <si>
    <t>Detailed Description of task(s) done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</si>
  <si>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</si>
  <si>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</si>
  <si>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</si>
  <si>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</si>
  <si>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</si>
  <si>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</si>
  <si>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</si>
  <si>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</si>
  <si>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</si>
  <si>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</si>
  <si>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</si>
  <si>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</si>
  <si>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</si>
  <si>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</si>
  <si>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</si>
  <si>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</si>
  <si>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</si>
  <si>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</si>
  <si>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</si>
  <si>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</si>
  <si>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</si>
  <si>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</si>
  <si>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</si>
  <si>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</si>
  <si>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</si>
  <si>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</si>
  <si>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</si>
  <si>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</si>
  <si>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</si>
  <si>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</si>
  <si>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</si>
  <si>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</si>
  <si>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</si>
  <si>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</si>
  <si>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</si>
  <si>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</si>
  <si>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</si>
  <si>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</si>
  <si>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</si>
  <si>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</si>
  <si>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</si>
  <si>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</si>
  <si>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</si>
  <si>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</si>
  <si>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</si>
  <si>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</si>
  <si>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</si>
  <si>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</si>
  <si>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</si>
  <si>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</si>
  <si>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</si>
  <si>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</si>
  <si>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</si>
  <si>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</si>
  <si>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</si>
  <si>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</si>
  <si>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</si>
  <si>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</si>
  <si>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</si>
  <si>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</si>
  <si>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</si>
  <si>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</si>
  <si>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</si>
  <si>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</si>
  <si>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</si>
  <si>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</si>
  <si>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</si>
  <si>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</si>
  <si>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</si>
  <si>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</si>
  <si>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</si>
  <si>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</si>
  <si>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</si>
  <si>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</si>
  <si>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</si>
  <si>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</si>
  <si>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</si>
  <si>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</si>
  <si>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</si>
  <si>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</si>
  <si>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</si>
  <si>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</si>
  <si>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</si>
  <si>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</si>
  <si>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</si>
  <si>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</si>
  <si>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</si>
  <si>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</si>
  <si>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</si>
  <si>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</si>
  <si>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</si>
  <si>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</si>
  <si>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</si>
  <si>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</si>
  <si>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</si>
  <si>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</si>
  <si>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</si>
  <si>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</si>
  <si>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</si>
  <si>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</si>
  <si>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</si>
  <si>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</si>
  <si>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</si>
  <si>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</si>
  <si>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Research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</si>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</sst>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54"/>
  <sheetViews>
    <sheetView zoomScale="60" zoomScaleNormal="60" workbookViewId="0">
      <selection activeCell="L36" sqref="L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C5" s="37"/>
      <c r="H5" s="40"/>
    </row>
    <row r="6" spans="1:10">
      <c r="A6" s="37" t="s">
        <v>2</v>
      </c>
      <c r="B6" s="70">
        <f>F49</f>
        <v>0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46143</v>
      </c>
      <c r="B9" s="47" t="s">
        <v>13</v>
      </c>
      <c r="C9" s="48" t="s">
        <v>14</v>
      </c>
      <c r="D9" s="48"/>
      <c r="E9" s="48" t="s">
        <v>15</v>
      </c>
      <c r="F9" s="48" t="s">
        <v>16</v>
      </c>
      <c r="G9" s="49" t="s">
        <v>17</v>
      </c>
      <c r="H9" s="50">
        <f t="shared" ref="H9:H44" si="0">J9-I9</f>
        <v>0.33333333333333331</v>
      </c>
      <c r="I9" s="51">
        <v>0.33333333333333331</v>
      </c>
      <c r="J9" s="51">
        <v>0.66666666666666663</v>
      </c>
    </row>
    <row r="10" spans="1:10">
      <c r="A10" s="31">
        <v>46144</v>
      </c>
      <c r="B10" s="31" t="s">
        <v>18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>
      <c r="A11" s="31">
        <v>46145</v>
      </c>
      <c r="B11" s="31" t="s">
        <v>19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22">
        <v>46146</v>
      </c>
      <c r="B12" s="22" t="s">
        <v>20</v>
      </c>
      <c r="C12" s="27" t="s">
        <v>14</v>
      </c>
      <c r="D12" s="27"/>
      <c r="E12" s="27"/>
      <c r="F12" s="27"/>
      <c r="G12" s="28"/>
      <c r="H12" s="29"/>
      <c r="I12" s="30"/>
      <c r="J12" s="30"/>
    </row>
    <row r="13" spans="1:10">
      <c r="A13" s="22">
        <v>46146</v>
      </c>
      <c r="B13" s="22" t="s">
        <v>20</v>
      </c>
      <c r="C13" s="27" t="s">
        <v>14</v>
      </c>
      <c r="D13" s="27"/>
      <c r="E13" s="27"/>
      <c r="F13" s="27"/>
      <c r="G13" s="28"/>
      <c r="H13" s="29"/>
      <c r="I13" s="30"/>
      <c r="J13" s="30"/>
    </row>
    <row r="14" spans="1:10">
      <c r="A14" s="22">
        <v>46147</v>
      </c>
      <c r="B14" s="22" t="s">
        <v>21</v>
      </c>
      <c r="C14" s="27" t="s">
        <v>14</v>
      </c>
      <c r="D14" s="27"/>
      <c r="E14" s="27"/>
      <c r="F14" s="27"/>
      <c r="G14" s="28"/>
      <c r="H14" s="29"/>
      <c r="I14" s="30"/>
      <c r="J14" s="30"/>
    </row>
    <row r="15" spans="1:10">
      <c r="A15" s="22">
        <v>46147</v>
      </c>
      <c r="B15" s="22" t="s">
        <v>21</v>
      </c>
      <c r="C15" s="27" t="s">
        <v>14</v>
      </c>
      <c r="D15" s="27"/>
      <c r="E15" s="27"/>
      <c r="F15" s="27"/>
      <c r="G15" s="28"/>
      <c r="H15" s="29"/>
      <c r="I15" s="30"/>
      <c r="J15" s="30"/>
    </row>
    <row r="16" spans="1:10">
      <c r="A16" s="22">
        <v>46148</v>
      </c>
      <c r="B16" s="22" t="s">
        <v>22</v>
      </c>
      <c r="C16" s="27" t="s">
        <v>14</v>
      </c>
      <c r="D16" s="27"/>
      <c r="E16" s="27"/>
      <c r="F16" s="27"/>
      <c r="G16" s="28"/>
      <c r="H16" s="29"/>
      <c r="I16" s="30"/>
      <c r="J16" s="30"/>
    </row>
    <row r="17" spans="1:10">
      <c r="A17" s="22">
        <v>46148</v>
      </c>
      <c r="B17" s="22" t="s">
        <v>22</v>
      </c>
      <c r="C17" s="27" t="s">
        <v>14</v>
      </c>
      <c r="D17" s="27"/>
      <c r="E17" s="27"/>
      <c r="F17" s="27"/>
      <c r="G17" s="28"/>
      <c r="H17" s="29"/>
      <c r="I17" s="30"/>
      <c r="J17" s="30"/>
    </row>
    <row r="18" spans="1:10">
      <c r="A18" s="22">
        <v>46149</v>
      </c>
      <c r="B18" s="22" t="s">
        <v>23</v>
      </c>
      <c r="C18" s="27" t="s">
        <v>14</v>
      </c>
      <c r="D18" s="27"/>
      <c r="E18" s="27"/>
      <c r="F18" s="27"/>
      <c r="G18" s="28"/>
      <c r="H18" s="29"/>
      <c r="I18" s="30"/>
      <c r="J18" s="30"/>
    </row>
    <row r="19" spans="1:10">
      <c r="A19" s="22">
        <v>46149</v>
      </c>
      <c r="B19" s="22" t="s">
        <v>23</v>
      </c>
      <c r="C19" s="27" t="s">
        <v>14</v>
      </c>
      <c r="D19" s="27"/>
      <c r="E19" s="27"/>
      <c r="F19" s="27"/>
      <c r="G19" s="28"/>
      <c r="H19" s="29"/>
      <c r="I19" s="30"/>
      <c r="J19" s="30"/>
    </row>
    <row r="20" spans="1:10">
      <c r="A20" s="22">
        <v>46150</v>
      </c>
      <c r="B20" s="22" t="s">
        <v>13</v>
      </c>
      <c r="C20" s="27" t="s">
        <v>14</v>
      </c>
      <c r="D20" s="27"/>
      <c r="E20" s="27"/>
      <c r="F20" s="27"/>
      <c r="G20" s="28"/>
      <c r="H20" s="29"/>
      <c r="I20" s="30"/>
      <c r="J20" s="30"/>
    </row>
    <row r="21" spans="1:10">
      <c r="A21" s="22">
        <v>46150</v>
      </c>
      <c r="B21" s="22" t="s">
        <v>13</v>
      </c>
      <c r="C21" s="27" t="s">
        <v>14</v>
      </c>
      <c r="D21" s="27"/>
      <c r="E21" s="27"/>
      <c r="F21" s="27"/>
      <c r="G21" s="28"/>
      <c r="H21" s="29"/>
      <c r="I21" s="30"/>
      <c r="J21" s="30"/>
    </row>
    <row r="22" spans="1:10">
      <c r="A22" s="31">
        <v>46151</v>
      </c>
      <c r="B22" s="31" t="s">
        <v>18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>
      <c r="A23" s="31">
        <v>46152</v>
      </c>
      <c r="B23" s="31" t="s">
        <v>19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>
      <c r="A24" s="22">
        <v>46153</v>
      </c>
      <c r="B24" s="22" t="s">
        <v>20</v>
      </c>
      <c r="C24" s="27"/>
      <c r="D24" s="27"/>
      <c r="E24" s="27"/>
      <c r="F24" s="27"/>
      <c r="G24" s="28"/>
      <c r="H24" s="29">
        <f t="shared" si="0"/>
        <v>0</v>
      </c>
      <c r="I24" s="30"/>
      <c r="J24" s="30"/>
    </row>
    <row r="25" spans="1:10">
      <c r="A25" s="22">
        <v>46154</v>
      </c>
      <c r="B25" s="22" t="s">
        <v>21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>
      <c r="A26" s="22">
        <v>46155</v>
      </c>
      <c r="B26" s="22" t="s">
        <v>22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>
      <c r="A27" s="22">
        <v>46156</v>
      </c>
      <c r="B27" s="22" t="s">
        <v>23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>
      <c r="A28" s="22">
        <v>46157</v>
      </c>
      <c r="B28" s="22" t="s">
        <v>13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>
      <c r="A29" s="31">
        <v>46158</v>
      </c>
      <c r="B29" s="31" t="s">
        <v>18</v>
      </c>
      <c r="C29" s="32"/>
      <c r="D29" s="32"/>
      <c r="E29" s="32"/>
      <c r="F29" s="32"/>
      <c r="G29" s="33"/>
      <c r="H29" s="34">
        <f t="shared" si="0"/>
        <v>0</v>
      </c>
      <c r="I29" s="35"/>
      <c r="J29" s="35"/>
    </row>
    <row r="30" spans="1:10">
      <c r="A30" s="31">
        <v>46159</v>
      </c>
      <c r="B30" s="31" t="s">
        <v>19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>
      <c r="A31" s="22">
        <v>46160</v>
      </c>
      <c r="B31" s="22" t="s">
        <v>20</v>
      </c>
      <c r="C31" s="27"/>
      <c r="D31" s="27"/>
      <c r="E31" s="27"/>
      <c r="F31" s="27"/>
      <c r="G31" s="28"/>
      <c r="H31" s="29">
        <f t="shared" si="0"/>
        <v>0</v>
      </c>
      <c r="I31" s="30"/>
      <c r="J31" s="30"/>
    </row>
    <row r="32" spans="1:10">
      <c r="A32" s="22">
        <v>46161</v>
      </c>
      <c r="B32" s="22" t="s">
        <v>21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>
      <c r="A33" s="22">
        <v>46162</v>
      </c>
      <c r="B33" s="22" t="s">
        <v>22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>
      <c r="A34" s="22">
        <v>46163</v>
      </c>
      <c r="B34" s="22" t="s">
        <v>23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>
      <c r="A35" s="22">
        <v>46164</v>
      </c>
      <c r="B35" s="22" t="s">
        <v>13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>
      <c r="A36" s="31">
        <v>46165</v>
      </c>
      <c r="B36" s="31" t="s">
        <v>18</v>
      </c>
      <c r="C36" s="32"/>
      <c r="D36" s="32"/>
      <c r="E36" s="32"/>
      <c r="F36" s="32"/>
      <c r="G36" s="33"/>
      <c r="H36" s="34">
        <f t="shared" si="0"/>
        <v>0</v>
      </c>
      <c r="I36" s="35"/>
      <c r="J36" s="35"/>
    </row>
    <row r="37" spans="1:10">
      <c r="A37" s="31">
        <v>46166</v>
      </c>
      <c r="B37" s="31" t="s">
        <v>19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>
      <c r="A38" s="22">
        <v>46167</v>
      </c>
      <c r="B38" s="22" t="s">
        <v>20</v>
      </c>
      <c r="C38" s="27"/>
      <c r="D38" s="27"/>
      <c r="E38" s="27"/>
      <c r="F38" s="27"/>
      <c r="G38" s="28"/>
      <c r="H38" s="29">
        <f t="shared" si="0"/>
        <v>0</v>
      </c>
      <c r="I38" s="30"/>
      <c r="J38" s="30"/>
    </row>
    <row r="39" spans="1:10">
      <c r="A39" s="22">
        <v>46168</v>
      </c>
      <c r="B39" s="22" t="s">
        <v>21</v>
      </c>
      <c r="C39" s="27"/>
      <c r="D39" s="27"/>
      <c r="E39" s="27"/>
      <c r="F39" s="27"/>
      <c r="G39" s="28"/>
      <c r="H39" s="29">
        <f t="shared" si="0"/>
        <v>0</v>
      </c>
      <c r="I39" s="30"/>
      <c r="J39" s="30"/>
    </row>
    <row r="40" spans="1:10">
      <c r="A40" s="22">
        <v>46169</v>
      </c>
      <c r="B40" s="22" t="s">
        <v>22</v>
      </c>
      <c r="C40" s="27"/>
      <c r="D40" s="27"/>
      <c r="E40" s="27"/>
      <c r="F40" s="27"/>
      <c r="G40" s="28"/>
      <c r="H40" s="29">
        <f t="shared" si="0"/>
        <v>0</v>
      </c>
      <c r="I40" s="30"/>
      <c r="J40" s="30"/>
    </row>
    <row r="41" spans="1:10">
      <c r="A41" s="22">
        <v>46170</v>
      </c>
      <c r="B41" s="22" t="s">
        <v>23</v>
      </c>
      <c r="C41" s="27"/>
      <c r="D41" s="27"/>
      <c r="E41" s="27"/>
      <c r="F41" s="27"/>
      <c r="G41" s="28"/>
      <c r="H41" s="29">
        <f t="shared" si="0"/>
        <v>0</v>
      </c>
      <c r="I41" s="30"/>
      <c r="J41" s="30"/>
    </row>
    <row r="42" spans="1:10">
      <c r="A42" s="22">
        <v>46171</v>
      </c>
      <c r="B42" s="22" t="s">
        <v>13</v>
      </c>
      <c r="C42" s="27"/>
      <c r="D42" s="27"/>
      <c r="E42" s="27"/>
      <c r="F42" s="27"/>
      <c r="G42" s="28"/>
      <c r="H42" s="29">
        <f t="shared" si="0"/>
        <v>0</v>
      </c>
      <c r="I42" s="30"/>
      <c r="J42" s="30"/>
    </row>
    <row r="43" spans="1:10">
      <c r="A43" s="31">
        <v>46172</v>
      </c>
      <c r="B43" s="31" t="s">
        <v>18</v>
      </c>
      <c r="C43" s="32"/>
      <c r="D43" s="32"/>
      <c r="E43" s="32"/>
      <c r="F43" s="32"/>
      <c r="G43" s="33"/>
      <c r="H43" s="34">
        <f t="shared" si="0"/>
        <v>0</v>
      </c>
      <c r="I43" s="35"/>
      <c r="J43" s="35"/>
    </row>
    <row r="44" spans="1:10" ht="13.9" customHeight="1">
      <c r="A44" s="31">
        <v>46173</v>
      </c>
      <c r="B44" s="31" t="s">
        <v>19</v>
      </c>
      <c r="C44" s="32"/>
      <c r="D44" s="95"/>
      <c r="E44" s="95"/>
      <c r="F44" s="32"/>
      <c r="G44" s="95"/>
      <c r="H44" s="34">
        <f t="shared" si="0"/>
        <v>0</v>
      </c>
      <c r="I44" s="96"/>
      <c r="J44" s="32"/>
    </row>
    <row r="45" spans="1:10" ht="13.9" customHeight="1" thickBot="1">
      <c r="A45" s="46"/>
      <c r="B45" s="45"/>
      <c r="C45" s="45"/>
      <c r="D45" s="45"/>
      <c r="E45" s="45"/>
      <c r="F45" s="45"/>
      <c r="G45" s="45"/>
      <c r="H45" s="36"/>
      <c r="I45" s="37"/>
    </row>
    <row r="46" spans="1:10" ht="13.9" customHeight="1">
      <c r="A46" s="4"/>
      <c r="B46" s="4"/>
      <c r="C46" s="5"/>
      <c r="D46" s="6"/>
      <c r="E46" s="7" t="s">
        <v>24</v>
      </c>
      <c r="F46" s="8">
        <v>160</v>
      </c>
      <c r="H46" s="40"/>
    </row>
    <row r="47" spans="1:10" ht="13.9" customHeight="1" thickBot="1">
      <c r="A47" s="4"/>
      <c r="B47" s="4"/>
      <c r="C47" s="9"/>
      <c r="D47" s="2"/>
      <c r="E47" s="10" t="s">
        <v>25</v>
      </c>
      <c r="F47" s="11">
        <v>20</v>
      </c>
      <c r="H47" s="40"/>
    </row>
    <row r="48" spans="1:10" ht="13.9" customHeight="1" thickBot="1">
      <c r="A48" s="120" t="s">
        <v>26</v>
      </c>
      <c r="B48" s="120"/>
      <c r="C48" s="120"/>
      <c r="D48" s="12"/>
      <c r="E48" s="2"/>
      <c r="F48" s="2"/>
      <c r="H48" s="40"/>
    </row>
    <row r="49" spans="1:8" ht="13.9">
      <c r="A49" s="13"/>
      <c r="B49" s="13"/>
      <c r="C49" s="6"/>
      <c r="D49" s="6"/>
      <c r="E49" s="14" t="s">
        <v>27</v>
      </c>
      <c r="F49" s="15">
        <f>SUMIF(F9:F44,"Billable",H9:H44)</f>
        <v>0</v>
      </c>
      <c r="H49" s="38"/>
    </row>
    <row r="50" spans="1:8" ht="15" customHeight="1" thickBot="1">
      <c r="A50" s="121" t="s">
        <v>28</v>
      </c>
      <c r="B50" s="121"/>
      <c r="C50" s="121"/>
      <c r="D50" s="16"/>
      <c r="E50" s="17" t="s">
        <v>29</v>
      </c>
      <c r="F50" s="18">
        <f>SUMIF(F9:F44,"Non-Billable",H9:H44)</f>
        <v>0.33333333333333331</v>
      </c>
      <c r="H50" s="40"/>
    </row>
    <row r="51" spans="1:8" ht="14.45" thickBot="1">
      <c r="A51" s="2"/>
      <c r="B51" s="2"/>
      <c r="C51" s="2"/>
      <c r="D51" s="2"/>
      <c r="E51" s="19" t="s">
        <v>30</v>
      </c>
      <c r="F51" s="44">
        <f>F49+F50</f>
        <v>0.33333333333333331</v>
      </c>
      <c r="H51" s="40"/>
    </row>
    <row r="52" spans="1:8" ht="13.9" thickBot="1">
      <c r="A52" s="2"/>
      <c r="B52" s="2"/>
      <c r="C52" s="2"/>
      <c r="D52" s="2"/>
      <c r="E52" s="2"/>
      <c r="F52" s="2"/>
      <c r="H52" s="40"/>
    </row>
    <row r="53" spans="1:8" ht="13.9" thickBot="1">
      <c r="A53" s="2"/>
      <c r="B53" s="2"/>
      <c r="C53" s="2"/>
      <c r="D53" s="2"/>
      <c r="E53" s="20" t="s">
        <v>31</v>
      </c>
      <c r="F53" s="21"/>
      <c r="H53" s="40"/>
    </row>
    <row r="54" spans="1:8" ht="13.15" thickBot="1">
      <c r="E54" s="39"/>
      <c r="H54" s="40"/>
    </row>
  </sheetData>
  <mergeCells count="2">
    <mergeCell ref="A48:C48"/>
    <mergeCell ref="A50:C50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54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44:E46 D48:E50 E53">
    <cfRule type="containsText" dxfId="77" priority="1" operator="containsText" text="Religious Leave">
      <formula>NOT(ISERROR(SEARCH("Religious Leave",D44)))</formula>
    </cfRule>
    <cfRule type="containsText" dxfId="76" priority="2" operator="containsText" text="Birthday Leave">
      <formula>NOT(ISERROR(SEARCH("Birthday Leave",D44)))</formula>
    </cfRule>
    <cfRule type="containsText" dxfId="75" priority="3" operator="containsText" text="Study Leave">
      <formula>NOT(ISERROR(SEARCH("Study Leave",D44)))</formula>
    </cfRule>
    <cfRule type="containsText" dxfId="74" priority="4" operator="containsText" text="Family Responsibility Leave">
      <formula>NOT(ISERROR(SEARCH("Family Responsibility Leave",D44)))</formula>
    </cfRule>
    <cfRule type="containsText" dxfId="73" priority="5" operator="containsText" text="Sick Leave">
      <formula>NOT(ISERROR(SEARCH("Sick Leave",D44)))</formula>
    </cfRule>
    <cfRule type="containsText" dxfId="72" priority="6" operator="containsText" text="Annual Leave">
      <formula>NOT(ISERROR(SEARCH("Annual Leave",D44)))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3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F9:F44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E9:E43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72"/>
  <sheetViews>
    <sheetView tabSelected="1" topLeftCell="A4" zoomScale="98" zoomScaleNormal="60" workbookViewId="0">
      <selection activeCell="L60" sqref="L60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32</v>
      </c>
      <c r="C5" s="37"/>
      <c r="H5" s="40"/>
    </row>
    <row r="6" spans="1:10">
      <c r="A6" s="37" t="s">
        <v>2</v>
      </c>
      <c r="B6" s="70">
        <f>F67</f>
        <v>0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88.5">
      <c r="A9" s="22">
        <v>46174</v>
      </c>
      <c r="B9" s="22" t="s">
        <v>20</v>
      </c>
      <c r="C9" s="27" t="s">
        <v>14</v>
      </c>
      <c r="D9" s="27"/>
      <c r="E9" s="27" t="s">
        <v>33</v>
      </c>
      <c r="F9" s="27" t="s">
        <v>16</v>
      </c>
      <c r="G9" s="28" t="s">
        <v>34</v>
      </c>
      <c r="H9" s="29">
        <f t="shared" ref="H9" si="0">J9-I9</f>
        <v>0.20763888888888887</v>
      </c>
      <c r="I9" s="30">
        <v>0.33333333333333331</v>
      </c>
      <c r="J9" s="30">
        <v>0.54097222222222219</v>
      </c>
    </row>
    <row r="10" spans="1:10" ht="75.75">
      <c r="A10" s="22">
        <v>46174</v>
      </c>
      <c r="B10" s="22" t="s">
        <v>20</v>
      </c>
      <c r="C10" s="27" t="s">
        <v>14</v>
      </c>
      <c r="D10" s="27"/>
      <c r="E10" s="27" t="s">
        <v>35</v>
      </c>
      <c r="F10" s="27" t="s">
        <v>16</v>
      </c>
      <c r="G10" s="28" t="s">
        <v>36</v>
      </c>
      <c r="H10" s="29">
        <v>0.13750000000000001</v>
      </c>
      <c r="I10" s="30">
        <v>0.5805555555555556</v>
      </c>
      <c r="J10" s="30">
        <v>0.71805555555555556</v>
      </c>
    </row>
    <row r="11" spans="1:10" ht="88.5">
      <c r="A11" s="22">
        <v>46175</v>
      </c>
      <c r="B11" s="22" t="s">
        <v>21</v>
      </c>
      <c r="C11" s="27" t="s">
        <v>14</v>
      </c>
      <c r="D11" s="27"/>
      <c r="E11" s="27" t="s">
        <v>35</v>
      </c>
      <c r="F11" s="27" t="s">
        <v>16</v>
      </c>
      <c r="G11" s="28" t="s">
        <v>34</v>
      </c>
      <c r="H11" s="29">
        <f t="shared" ref="H11:H18" si="1">J11-I11</f>
        <v>0.20624999999999999</v>
      </c>
      <c r="I11" s="30">
        <v>0.33333333333333331</v>
      </c>
      <c r="J11" s="30">
        <v>0.5395833333333333</v>
      </c>
    </row>
    <row r="12" spans="1:10" ht="63">
      <c r="A12" s="22">
        <v>46175</v>
      </c>
      <c r="B12" s="22" t="s">
        <v>21</v>
      </c>
      <c r="C12" s="27" t="s">
        <v>14</v>
      </c>
      <c r="D12" s="27"/>
      <c r="E12" s="27" t="s">
        <v>35</v>
      </c>
      <c r="F12" s="27" t="s">
        <v>16</v>
      </c>
      <c r="G12" s="28" t="s">
        <v>37</v>
      </c>
      <c r="H12" s="29">
        <v>0.12916666666666668</v>
      </c>
      <c r="I12" s="30">
        <v>0.57986111111111116</v>
      </c>
      <c r="J12" s="30">
        <v>0.70902777777777781</v>
      </c>
    </row>
    <row r="13" spans="1:10" ht="75.75">
      <c r="A13" s="22">
        <v>46176</v>
      </c>
      <c r="B13" s="22" t="s">
        <v>22</v>
      </c>
      <c r="C13" s="27" t="s">
        <v>14</v>
      </c>
      <c r="D13" s="27"/>
      <c r="E13" s="27" t="s">
        <v>35</v>
      </c>
      <c r="F13" s="27" t="s">
        <v>16</v>
      </c>
      <c r="G13" s="28" t="s">
        <v>38</v>
      </c>
      <c r="H13" s="29">
        <f t="shared" si="1"/>
        <v>0.20694444444444443</v>
      </c>
      <c r="I13" s="30">
        <v>0.33333333333333331</v>
      </c>
      <c r="J13" s="30">
        <v>0.54027777777777775</v>
      </c>
    </row>
    <row r="14" spans="1:10" ht="50.25">
      <c r="A14" s="22">
        <v>46176</v>
      </c>
      <c r="B14" s="22" t="s">
        <v>22</v>
      </c>
      <c r="C14" s="27" t="s">
        <v>14</v>
      </c>
      <c r="D14" s="27"/>
      <c r="E14" s="27" t="s">
        <v>33</v>
      </c>
      <c r="F14" s="27" t="s">
        <v>16</v>
      </c>
      <c r="G14" s="28" t="s">
        <v>39</v>
      </c>
      <c r="H14" s="29">
        <v>0.13055555555555556</v>
      </c>
      <c r="I14" s="30">
        <v>0.5805555555555556</v>
      </c>
      <c r="J14" s="30">
        <v>0.71111111111111114</v>
      </c>
    </row>
    <row r="15" spans="1:10" ht="88.5">
      <c r="A15" s="22">
        <v>46177</v>
      </c>
      <c r="B15" s="22" t="s">
        <v>23</v>
      </c>
      <c r="C15" s="27" t="s">
        <v>14</v>
      </c>
      <c r="D15" s="27"/>
      <c r="E15" s="27" t="s">
        <v>35</v>
      </c>
      <c r="F15" s="27" t="s">
        <v>16</v>
      </c>
      <c r="G15" s="28" t="s">
        <v>40</v>
      </c>
      <c r="H15" s="29">
        <f t="shared" si="1"/>
        <v>0.20694444444444443</v>
      </c>
      <c r="I15" s="30">
        <v>0.33333333333333331</v>
      </c>
      <c r="J15" s="30">
        <v>0.54027777777777775</v>
      </c>
    </row>
    <row r="16" spans="1:10" ht="37.5">
      <c r="A16" s="22">
        <v>46177</v>
      </c>
      <c r="B16" s="22" t="s">
        <v>23</v>
      </c>
      <c r="C16" s="27" t="s">
        <v>14</v>
      </c>
      <c r="D16" s="27"/>
      <c r="E16" s="27" t="s">
        <v>35</v>
      </c>
      <c r="F16" s="27" t="s">
        <v>16</v>
      </c>
      <c r="G16" s="28" t="s">
        <v>41</v>
      </c>
      <c r="H16" s="29">
        <v>0.12986111111111112</v>
      </c>
      <c r="I16" s="30">
        <v>0.5805555555555556</v>
      </c>
      <c r="J16" s="30">
        <v>0.7104166666666667</v>
      </c>
    </row>
    <row r="17" spans="1:10" ht="88.5">
      <c r="A17" s="22">
        <v>46178</v>
      </c>
      <c r="B17" s="22" t="s">
        <v>13</v>
      </c>
      <c r="C17" s="27" t="s">
        <v>14</v>
      </c>
      <c r="D17" s="27"/>
      <c r="E17" s="27" t="s">
        <v>35</v>
      </c>
      <c r="F17" s="27" t="s">
        <v>16</v>
      </c>
      <c r="G17" s="28" t="s">
        <v>42</v>
      </c>
      <c r="H17" s="29">
        <f t="shared" si="1"/>
        <v>0.22986111111111113</v>
      </c>
      <c r="I17" s="30">
        <v>0.33333333333333331</v>
      </c>
      <c r="J17" s="30">
        <v>0.56319444444444444</v>
      </c>
    </row>
    <row r="18" spans="1:10" ht="37.5">
      <c r="A18" s="22">
        <v>46178</v>
      </c>
      <c r="B18" s="22" t="s">
        <v>13</v>
      </c>
      <c r="C18" s="27" t="s">
        <v>14</v>
      </c>
      <c r="D18" s="27"/>
      <c r="E18" s="27" t="s">
        <v>33</v>
      </c>
      <c r="F18" s="27" t="s">
        <v>16</v>
      </c>
      <c r="G18" s="28" t="s">
        <v>43</v>
      </c>
      <c r="H18" s="29">
        <v>0.13958333333333334</v>
      </c>
      <c r="I18" s="30">
        <v>0.6020833333333333</v>
      </c>
      <c r="J18" s="30">
        <v>0.7416666666666667</v>
      </c>
    </row>
    <row r="19" spans="1:10">
      <c r="A19" s="31">
        <v>46179</v>
      </c>
      <c r="B19" s="31" t="s">
        <v>18</v>
      </c>
      <c r="C19" s="32"/>
      <c r="D19" s="32"/>
      <c r="E19" s="32"/>
      <c r="F19" s="32"/>
      <c r="G19" s="33"/>
      <c r="H19" s="34">
        <f t="shared" ref="H19:H57" si="2">J19-I19</f>
        <v>0</v>
      </c>
      <c r="I19" s="35"/>
      <c r="J19" s="35"/>
    </row>
    <row r="20" spans="1:10">
      <c r="A20" s="31">
        <v>46180</v>
      </c>
      <c r="B20" s="31" t="s">
        <v>19</v>
      </c>
      <c r="C20" s="32"/>
      <c r="D20" s="32"/>
      <c r="E20" s="32"/>
      <c r="F20" s="32"/>
      <c r="G20" s="33"/>
      <c r="H20" s="34">
        <f t="shared" si="2"/>
        <v>0</v>
      </c>
      <c r="I20" s="35"/>
      <c r="J20" s="35"/>
    </row>
    <row r="21" spans="1:10" ht="100.5">
      <c r="A21" s="22">
        <v>46181</v>
      </c>
      <c r="B21" s="22" t="s">
        <v>20</v>
      </c>
      <c r="C21" s="27" t="s">
        <v>14</v>
      </c>
      <c r="D21" s="27"/>
      <c r="E21" s="27" t="s">
        <v>35</v>
      </c>
      <c r="F21" s="27" t="s">
        <v>16</v>
      </c>
      <c r="G21" s="28" t="s">
        <v>44</v>
      </c>
      <c r="H21" s="29">
        <f t="shared" si="2"/>
        <v>0.20555555555555555</v>
      </c>
      <c r="I21" s="30">
        <v>0.33333333333333331</v>
      </c>
      <c r="J21" s="30">
        <v>0.53888888888888886</v>
      </c>
    </row>
    <row r="22" spans="1:10" ht="63">
      <c r="A22" s="22">
        <v>46181</v>
      </c>
      <c r="B22" s="22" t="s">
        <v>20</v>
      </c>
      <c r="C22" s="27" t="s">
        <v>14</v>
      </c>
      <c r="D22" s="27"/>
      <c r="E22" s="27" t="s">
        <v>33</v>
      </c>
      <c r="F22" s="27" t="s">
        <v>16</v>
      </c>
      <c r="G22" s="28" t="s">
        <v>45</v>
      </c>
      <c r="H22" s="29">
        <f t="shared" si="2"/>
        <v>0.13124999999999998</v>
      </c>
      <c r="I22" s="30">
        <v>0.57916666666666672</v>
      </c>
      <c r="J22" s="30">
        <v>0.7104166666666667</v>
      </c>
    </row>
    <row r="23" spans="1:10" ht="126">
      <c r="A23" s="22">
        <v>46182</v>
      </c>
      <c r="B23" s="22" t="s">
        <v>21</v>
      </c>
      <c r="C23" s="27" t="s">
        <v>14</v>
      </c>
      <c r="D23" s="27"/>
      <c r="E23" s="27" t="s">
        <v>35</v>
      </c>
      <c r="F23" s="27" t="s">
        <v>16</v>
      </c>
      <c r="G23" s="28" t="s">
        <v>46</v>
      </c>
      <c r="H23" s="29">
        <f t="shared" si="2"/>
        <v>0.2097222222222222</v>
      </c>
      <c r="I23" s="30">
        <v>0.33333333333333331</v>
      </c>
      <c r="J23" s="30">
        <v>0.54305555555555551</v>
      </c>
    </row>
    <row r="24" spans="1:10" ht="63">
      <c r="A24" s="22">
        <v>46182</v>
      </c>
      <c r="B24" s="22" t="s">
        <v>21</v>
      </c>
      <c r="C24" s="27" t="s">
        <v>14</v>
      </c>
      <c r="D24" s="27"/>
      <c r="E24" s="27" t="s">
        <v>35</v>
      </c>
      <c r="F24" s="27" t="s">
        <v>16</v>
      </c>
      <c r="G24" s="28" t="s">
        <v>47</v>
      </c>
      <c r="H24" s="29">
        <f t="shared" si="2"/>
        <v>0.13472222222222219</v>
      </c>
      <c r="I24" s="30">
        <v>0.58194444444444449</v>
      </c>
      <c r="J24" s="30">
        <v>0.71666666666666667</v>
      </c>
    </row>
    <row r="25" spans="1:10" ht="63">
      <c r="A25" s="22">
        <v>46183</v>
      </c>
      <c r="B25" s="22" t="s">
        <v>22</v>
      </c>
      <c r="C25" s="27" t="s">
        <v>14</v>
      </c>
      <c r="D25" s="27"/>
      <c r="E25" s="27" t="s">
        <v>35</v>
      </c>
      <c r="F25" s="27" t="s">
        <v>16</v>
      </c>
      <c r="G25" s="28" t="s">
        <v>48</v>
      </c>
      <c r="H25" s="29">
        <f t="shared" si="2"/>
        <v>0.10416666666666669</v>
      </c>
      <c r="I25" s="30">
        <v>0.33333333333333331</v>
      </c>
      <c r="J25" s="30">
        <v>0.4375</v>
      </c>
    </row>
    <row r="26" spans="1:10" ht="12.75">
      <c r="A26" s="22">
        <v>46183</v>
      </c>
      <c r="B26" s="22" t="s">
        <v>22</v>
      </c>
      <c r="C26" s="27" t="s">
        <v>14</v>
      </c>
      <c r="D26" s="27"/>
      <c r="E26" s="27" t="s">
        <v>33</v>
      </c>
      <c r="F26" s="27" t="s">
        <v>16</v>
      </c>
      <c r="G26" s="28" t="s">
        <v>49</v>
      </c>
      <c r="H26" s="29">
        <f t="shared" si="2"/>
        <v>3.2638888888888884E-2</v>
      </c>
      <c r="I26" s="30">
        <v>0.4375</v>
      </c>
      <c r="J26" s="30">
        <v>0.47013888888888888</v>
      </c>
    </row>
    <row r="27" spans="1:10" ht="63">
      <c r="A27" s="22">
        <v>46183</v>
      </c>
      <c r="B27" s="22" t="s">
        <v>22</v>
      </c>
      <c r="C27" s="27" t="s">
        <v>14</v>
      </c>
      <c r="D27" s="27"/>
      <c r="E27" s="27" t="s">
        <v>35</v>
      </c>
      <c r="F27" s="27" t="s">
        <v>16</v>
      </c>
      <c r="G27" s="28" t="s">
        <v>50</v>
      </c>
      <c r="H27" s="29">
        <f t="shared" si="2"/>
        <v>7.9166666666666718E-2</v>
      </c>
      <c r="I27" s="30">
        <v>0.47013888888888888</v>
      </c>
      <c r="J27" s="30">
        <v>0.5493055555555556</v>
      </c>
    </row>
    <row r="28" spans="1:10" ht="63">
      <c r="A28" s="22">
        <v>46183</v>
      </c>
      <c r="B28" s="22" t="s">
        <v>22</v>
      </c>
      <c r="C28" s="27" t="s">
        <v>14</v>
      </c>
      <c r="D28" s="27"/>
      <c r="E28" s="27" t="s">
        <v>35</v>
      </c>
      <c r="F28" s="27" t="s">
        <v>16</v>
      </c>
      <c r="G28" s="28" t="s">
        <v>47</v>
      </c>
      <c r="H28" s="29">
        <f t="shared" si="2"/>
        <v>0.12708333333333333</v>
      </c>
      <c r="I28" s="30">
        <v>0.58750000000000002</v>
      </c>
      <c r="J28" s="30">
        <v>0.71458333333333335</v>
      </c>
    </row>
    <row r="29" spans="1:10" ht="113.25">
      <c r="A29" s="22">
        <v>46184</v>
      </c>
      <c r="B29" s="22" t="s">
        <v>23</v>
      </c>
      <c r="C29" s="27" t="s">
        <v>14</v>
      </c>
      <c r="D29" s="27"/>
      <c r="E29" s="27" t="s">
        <v>35</v>
      </c>
      <c r="F29" s="27" t="s">
        <v>16</v>
      </c>
      <c r="G29" s="28" t="s">
        <v>51</v>
      </c>
      <c r="H29" s="29">
        <f t="shared" si="2"/>
        <v>0.20833333333333331</v>
      </c>
      <c r="I29" s="30">
        <v>0.33333333333333331</v>
      </c>
      <c r="J29" s="30">
        <v>0.54166666666666663</v>
      </c>
    </row>
    <row r="30" spans="1:10" ht="50.25">
      <c r="A30" s="22">
        <v>46184</v>
      </c>
      <c r="B30" s="22" t="s">
        <v>23</v>
      </c>
      <c r="C30" s="27" t="s">
        <v>14</v>
      </c>
      <c r="D30" s="27"/>
      <c r="E30" s="27" t="s">
        <v>35</v>
      </c>
      <c r="F30" s="27" t="s">
        <v>16</v>
      </c>
      <c r="G30" s="28" t="s">
        <v>52</v>
      </c>
      <c r="H30" s="29">
        <f t="shared" si="2"/>
        <v>0.12847222222222221</v>
      </c>
      <c r="I30" s="30">
        <v>0.58194444444444449</v>
      </c>
      <c r="J30" s="30">
        <v>0.7104166666666667</v>
      </c>
    </row>
    <row r="31" spans="1:10" ht="50.25">
      <c r="A31" s="22">
        <v>46185</v>
      </c>
      <c r="B31" s="22" t="s">
        <v>13</v>
      </c>
      <c r="C31" s="27" t="s">
        <v>14</v>
      </c>
      <c r="D31" s="27"/>
      <c r="E31" s="27" t="s">
        <v>35</v>
      </c>
      <c r="F31" s="27" t="s">
        <v>16</v>
      </c>
      <c r="G31" s="28" t="s">
        <v>53</v>
      </c>
      <c r="H31" s="29">
        <f t="shared" si="2"/>
        <v>0.20833333333333331</v>
      </c>
      <c r="I31" s="30">
        <v>0.33333333333333331</v>
      </c>
      <c r="J31" s="30">
        <v>0.54166666666666663</v>
      </c>
    </row>
    <row r="32" spans="1:10" ht="50.25">
      <c r="A32" s="22">
        <v>46185</v>
      </c>
      <c r="B32" s="22" t="s">
        <v>13</v>
      </c>
      <c r="C32" s="27" t="s">
        <v>14</v>
      </c>
      <c r="D32" s="27"/>
      <c r="E32" s="27" t="s">
        <v>35</v>
      </c>
      <c r="F32" s="27" t="s">
        <v>16</v>
      </c>
      <c r="G32" s="28" t="s">
        <v>52</v>
      </c>
      <c r="H32" s="29">
        <f t="shared" si="2"/>
        <v>0.13472222222222219</v>
      </c>
      <c r="I32" s="30">
        <v>0.58125000000000004</v>
      </c>
      <c r="J32" s="30">
        <v>0.71597222222222223</v>
      </c>
    </row>
    <row r="33" spans="1:10" ht="12.75">
      <c r="A33" s="31">
        <v>46186</v>
      </c>
      <c r="B33" s="31" t="s">
        <v>18</v>
      </c>
      <c r="C33" s="32"/>
      <c r="D33" s="32"/>
      <c r="E33" s="32"/>
      <c r="F33" s="32"/>
      <c r="G33" s="33"/>
      <c r="H33" s="34">
        <f t="shared" si="2"/>
        <v>0</v>
      </c>
      <c r="I33" s="35"/>
      <c r="J33" s="35"/>
    </row>
    <row r="34" spans="1:10" ht="12.75">
      <c r="A34" s="31">
        <v>46187</v>
      </c>
      <c r="B34" s="31" t="s">
        <v>19</v>
      </c>
      <c r="C34" s="32"/>
      <c r="D34" s="32"/>
      <c r="E34" s="32"/>
      <c r="F34" s="32"/>
      <c r="G34" s="33"/>
      <c r="H34" s="34">
        <f t="shared" si="2"/>
        <v>0</v>
      </c>
      <c r="I34" s="35"/>
      <c r="J34" s="35"/>
    </row>
    <row r="35" spans="1:10" ht="100.5">
      <c r="A35" s="22">
        <v>46188</v>
      </c>
      <c r="B35" s="22" t="s">
        <v>20</v>
      </c>
      <c r="C35" s="27" t="s">
        <v>14</v>
      </c>
      <c r="D35" s="27"/>
      <c r="E35" s="27" t="s">
        <v>35</v>
      </c>
      <c r="F35" s="27" t="s">
        <v>16</v>
      </c>
      <c r="G35" s="28" t="s">
        <v>54</v>
      </c>
      <c r="H35" s="29">
        <f t="shared" si="2"/>
        <v>0.20833333333333331</v>
      </c>
      <c r="I35" s="30">
        <v>0.33333333333333331</v>
      </c>
      <c r="J35" s="30">
        <v>0.54166666666666663</v>
      </c>
    </row>
    <row r="36" spans="1:10" ht="50.25">
      <c r="A36" s="22">
        <v>46188</v>
      </c>
      <c r="B36" s="22" t="s">
        <v>20</v>
      </c>
      <c r="C36" s="27" t="s">
        <v>14</v>
      </c>
      <c r="D36" s="27"/>
      <c r="E36" s="27" t="s">
        <v>35</v>
      </c>
      <c r="F36" s="27" t="s">
        <v>16</v>
      </c>
      <c r="G36" s="28" t="s">
        <v>52</v>
      </c>
      <c r="H36" s="29">
        <f t="shared" si="2"/>
        <v>0.13194444444444442</v>
      </c>
      <c r="I36" s="30">
        <v>0.58125000000000004</v>
      </c>
      <c r="J36" s="30">
        <v>0.71319444444444446</v>
      </c>
    </row>
    <row r="37" spans="1:10" ht="12.75">
      <c r="A37" s="47">
        <v>46189</v>
      </c>
      <c r="B37" s="47" t="s">
        <v>21</v>
      </c>
      <c r="C37" s="48" t="s">
        <v>14</v>
      </c>
      <c r="D37" s="48"/>
      <c r="E37" s="48" t="s">
        <v>15</v>
      </c>
      <c r="F37" s="48" t="s">
        <v>16</v>
      </c>
      <c r="G37" s="49" t="s">
        <v>55</v>
      </c>
      <c r="H37" s="50">
        <f t="shared" si="2"/>
        <v>0.33333333333333331</v>
      </c>
      <c r="I37" s="51">
        <v>0.33333333333333331</v>
      </c>
      <c r="J37" s="51">
        <v>0.66666666666666663</v>
      </c>
    </row>
    <row r="38" spans="1:10" ht="100.5">
      <c r="A38" s="22">
        <v>46190</v>
      </c>
      <c r="B38" s="22" t="s">
        <v>22</v>
      </c>
      <c r="C38" s="27" t="s">
        <v>14</v>
      </c>
      <c r="D38" s="27"/>
      <c r="E38" s="27" t="s">
        <v>35</v>
      </c>
      <c r="F38" s="27" t="s">
        <v>16</v>
      </c>
      <c r="G38" s="28" t="s">
        <v>56</v>
      </c>
      <c r="H38" s="29">
        <f t="shared" si="2"/>
        <v>0.20833333333333331</v>
      </c>
      <c r="I38" s="30">
        <v>0.33333333333333331</v>
      </c>
      <c r="J38" s="30">
        <v>0.54166666666666663</v>
      </c>
    </row>
    <row r="39" spans="1:10" ht="63">
      <c r="A39" s="22">
        <v>46190</v>
      </c>
      <c r="B39" s="22" t="s">
        <v>22</v>
      </c>
      <c r="C39" s="27" t="s">
        <v>14</v>
      </c>
      <c r="D39" s="27"/>
      <c r="E39" s="27" t="s">
        <v>35</v>
      </c>
      <c r="F39" s="27" t="s">
        <v>16</v>
      </c>
      <c r="G39" s="28" t="s">
        <v>57</v>
      </c>
      <c r="H39" s="29">
        <f t="shared" si="2"/>
        <v>0.13055555555555554</v>
      </c>
      <c r="I39" s="30">
        <v>0.58194444444444449</v>
      </c>
      <c r="J39" s="30">
        <v>0.71250000000000002</v>
      </c>
    </row>
    <row r="40" spans="1:10" ht="100.5">
      <c r="A40" s="22">
        <v>46191</v>
      </c>
      <c r="B40" s="22" t="s">
        <v>23</v>
      </c>
      <c r="C40" s="27" t="s">
        <v>14</v>
      </c>
      <c r="D40" s="27"/>
      <c r="E40" s="27" t="s">
        <v>35</v>
      </c>
      <c r="F40" s="27" t="s">
        <v>16</v>
      </c>
      <c r="G40" s="28" t="s">
        <v>58</v>
      </c>
      <c r="H40" s="29">
        <f t="shared" si="2"/>
        <v>0.20902777777777776</v>
      </c>
      <c r="I40" s="30">
        <v>0.33333333333333331</v>
      </c>
      <c r="J40" s="30">
        <v>0.54236111111111107</v>
      </c>
    </row>
    <row r="41" spans="1:10" ht="37.5">
      <c r="A41" s="22">
        <v>46191</v>
      </c>
      <c r="B41" s="22" t="s">
        <v>23</v>
      </c>
      <c r="C41" s="27" t="s">
        <v>14</v>
      </c>
      <c r="D41" s="27"/>
      <c r="E41" s="27" t="s">
        <v>35</v>
      </c>
      <c r="F41" s="27" t="s">
        <v>16</v>
      </c>
      <c r="G41" s="28" t="s">
        <v>59</v>
      </c>
      <c r="H41" s="29">
        <f t="shared" si="2"/>
        <v>0.13055555555555554</v>
      </c>
      <c r="I41" s="30">
        <v>0.58125000000000004</v>
      </c>
      <c r="J41" s="30">
        <v>0.71180555555555558</v>
      </c>
    </row>
    <row r="42" spans="1:10" ht="100.5">
      <c r="A42" s="22">
        <v>46192</v>
      </c>
      <c r="B42" s="22" t="s">
        <v>13</v>
      </c>
      <c r="C42" s="27" t="s">
        <v>14</v>
      </c>
      <c r="D42" s="27"/>
      <c r="E42" s="27" t="s">
        <v>35</v>
      </c>
      <c r="F42" s="27" t="s">
        <v>16</v>
      </c>
      <c r="G42" s="28" t="s">
        <v>58</v>
      </c>
      <c r="H42" s="29">
        <f t="shared" si="2"/>
        <v>0.20902777777777776</v>
      </c>
      <c r="I42" s="30">
        <v>0.33333333333333331</v>
      </c>
      <c r="J42" s="30">
        <v>0.54236111111111107</v>
      </c>
    </row>
    <row r="43" spans="1:10" ht="37.5">
      <c r="A43" s="22">
        <v>46192</v>
      </c>
      <c r="B43" s="22" t="s">
        <v>13</v>
      </c>
      <c r="C43" s="27" t="s">
        <v>14</v>
      </c>
      <c r="D43" s="27"/>
      <c r="E43" s="27" t="s">
        <v>35</v>
      </c>
      <c r="F43" s="27" t="s">
        <v>16</v>
      </c>
      <c r="G43" s="28" t="s">
        <v>59</v>
      </c>
      <c r="H43" s="29">
        <f t="shared" si="2"/>
        <v>0.15347222222222223</v>
      </c>
      <c r="I43" s="30">
        <v>0.58194444444444449</v>
      </c>
      <c r="J43" s="30">
        <v>0.73541666666666672</v>
      </c>
    </row>
    <row r="44" spans="1:10">
      <c r="A44" s="31">
        <v>46193</v>
      </c>
      <c r="B44" s="31" t="s">
        <v>18</v>
      </c>
      <c r="C44" s="32"/>
      <c r="D44" s="32"/>
      <c r="E44" s="32"/>
      <c r="F44" s="32"/>
      <c r="G44" s="33"/>
      <c r="H44" s="34">
        <f t="shared" si="2"/>
        <v>0</v>
      </c>
      <c r="I44" s="35"/>
      <c r="J44" s="35"/>
    </row>
    <row r="45" spans="1:10">
      <c r="A45" s="31">
        <v>46194</v>
      </c>
      <c r="B45" s="31" t="s">
        <v>19</v>
      </c>
      <c r="C45" s="32"/>
      <c r="D45" s="32"/>
      <c r="E45" s="32"/>
      <c r="F45" s="32"/>
      <c r="G45" s="33"/>
      <c r="H45" s="34">
        <f t="shared" si="2"/>
        <v>0</v>
      </c>
      <c r="I45" s="35"/>
      <c r="J45" s="35"/>
    </row>
    <row r="46" spans="1:10" ht="75.599999999999994">
      <c r="A46" s="22">
        <v>46195</v>
      </c>
      <c r="B46" s="22" t="s">
        <v>20</v>
      </c>
      <c r="C46" s="27" t="s">
        <v>14</v>
      </c>
      <c r="D46" s="27"/>
      <c r="E46" s="27" t="s">
        <v>35</v>
      </c>
      <c r="F46" s="27" t="s">
        <v>16</v>
      </c>
      <c r="G46" s="28" t="s">
        <v>60</v>
      </c>
      <c r="H46" s="29">
        <f t="shared" si="2"/>
        <v>0.21597222222222229</v>
      </c>
      <c r="I46" s="30">
        <v>0.33333333333333331</v>
      </c>
      <c r="J46" s="30">
        <v>0.5493055555555556</v>
      </c>
    </row>
    <row r="47" spans="1:10" ht="63">
      <c r="A47" s="22">
        <v>46195</v>
      </c>
      <c r="B47" s="22" t="s">
        <v>20</v>
      </c>
      <c r="C47" s="27" t="s">
        <v>14</v>
      </c>
      <c r="D47" s="27"/>
      <c r="E47" s="27" t="s">
        <v>35</v>
      </c>
      <c r="F47" s="27" t="s">
        <v>16</v>
      </c>
      <c r="G47" s="28" t="s">
        <v>61</v>
      </c>
      <c r="H47" s="29">
        <f t="shared" si="2"/>
        <v>0.12986111111111109</v>
      </c>
      <c r="I47" s="30">
        <v>0.58194444444444449</v>
      </c>
      <c r="J47" s="30">
        <v>0.71180555555555558</v>
      </c>
    </row>
    <row r="48" spans="1:10" ht="75.599999999999994">
      <c r="A48" s="22">
        <v>46196</v>
      </c>
      <c r="B48" s="22" t="s">
        <v>21</v>
      </c>
      <c r="C48" s="27" t="s">
        <v>14</v>
      </c>
      <c r="D48" s="27"/>
      <c r="E48" s="27" t="s">
        <v>35</v>
      </c>
      <c r="F48" s="27" t="s">
        <v>16</v>
      </c>
      <c r="G48" s="28" t="s">
        <v>60</v>
      </c>
      <c r="H48" s="29">
        <f t="shared" si="2"/>
        <v>0.21319444444444441</v>
      </c>
      <c r="I48" s="30">
        <v>0.33333333333333331</v>
      </c>
      <c r="J48" s="30">
        <v>0.54652777777777772</v>
      </c>
    </row>
    <row r="49" spans="1:10" ht="63">
      <c r="A49" s="22">
        <v>46196</v>
      </c>
      <c r="B49" s="22" t="s">
        <v>21</v>
      </c>
      <c r="C49" s="27" t="s">
        <v>14</v>
      </c>
      <c r="D49" s="27"/>
      <c r="E49" s="27" t="s">
        <v>35</v>
      </c>
      <c r="F49" s="27" t="s">
        <v>16</v>
      </c>
      <c r="G49" s="28" t="s">
        <v>61</v>
      </c>
      <c r="H49" s="29">
        <f t="shared" si="2"/>
        <v>0.13958333333333328</v>
      </c>
      <c r="I49" s="30">
        <v>0.58680555555555558</v>
      </c>
      <c r="J49" s="30">
        <v>0.72638888888888886</v>
      </c>
    </row>
    <row r="50" spans="1:10" ht="75.599999999999994">
      <c r="A50" s="22">
        <v>46197</v>
      </c>
      <c r="B50" s="22" t="s">
        <v>22</v>
      </c>
      <c r="C50" s="27" t="s">
        <v>14</v>
      </c>
      <c r="D50" s="27"/>
      <c r="E50" s="27" t="s">
        <v>35</v>
      </c>
      <c r="F50" s="27" t="s">
        <v>16</v>
      </c>
      <c r="G50" s="28" t="s">
        <v>60</v>
      </c>
      <c r="H50" s="29">
        <f t="shared" ref="H50:H52" si="3">J50-I50</f>
        <v>0.2097222222222222</v>
      </c>
      <c r="I50" s="30">
        <v>0.33333333333333331</v>
      </c>
      <c r="J50" s="30">
        <v>0.54305555555555551</v>
      </c>
    </row>
    <row r="51" spans="1:10" ht="63">
      <c r="A51" s="22">
        <v>46197</v>
      </c>
      <c r="B51" s="22" t="s">
        <v>22</v>
      </c>
      <c r="C51" s="27" t="s">
        <v>14</v>
      </c>
      <c r="D51" s="27"/>
      <c r="E51" s="27" t="s">
        <v>35</v>
      </c>
      <c r="F51" s="27" t="s">
        <v>16</v>
      </c>
      <c r="G51" s="28" t="s">
        <v>61</v>
      </c>
      <c r="H51" s="29">
        <f t="shared" si="3"/>
        <v>0.10486111111111107</v>
      </c>
      <c r="I51" s="30">
        <v>0.58263888888888893</v>
      </c>
      <c r="J51" s="30">
        <v>0.6875</v>
      </c>
    </row>
    <row r="52" spans="1:10" ht="25.15">
      <c r="A52" s="22">
        <v>46197</v>
      </c>
      <c r="B52" s="22" t="s">
        <v>22</v>
      </c>
      <c r="C52" s="27" t="s">
        <v>14</v>
      </c>
      <c r="D52" s="27"/>
      <c r="E52" s="27" t="s">
        <v>33</v>
      </c>
      <c r="F52" s="27" t="s">
        <v>16</v>
      </c>
      <c r="G52" s="28" t="s">
        <v>62</v>
      </c>
      <c r="H52" s="29">
        <f t="shared" si="3"/>
        <v>3.4027777777777768E-2</v>
      </c>
      <c r="I52" s="30">
        <v>0.6875</v>
      </c>
      <c r="J52" s="30">
        <v>0.72152777777777777</v>
      </c>
    </row>
    <row r="53" spans="1:10" ht="75.599999999999994">
      <c r="A53" s="22">
        <v>46198</v>
      </c>
      <c r="B53" s="22" t="s">
        <v>23</v>
      </c>
      <c r="C53" s="27" t="s">
        <v>14</v>
      </c>
      <c r="D53" s="27"/>
      <c r="E53" s="27" t="s">
        <v>35</v>
      </c>
      <c r="F53" s="27" t="s">
        <v>16</v>
      </c>
      <c r="G53" s="28" t="s">
        <v>60</v>
      </c>
      <c r="H53" s="29">
        <f t="shared" si="2"/>
        <v>0.21319444444444441</v>
      </c>
      <c r="I53" s="30">
        <v>0.33333333333333331</v>
      </c>
      <c r="J53" s="30">
        <v>0.54652777777777772</v>
      </c>
    </row>
    <row r="54" spans="1:10" ht="63">
      <c r="A54" s="22">
        <v>46198</v>
      </c>
      <c r="B54" s="22" t="s">
        <v>23</v>
      </c>
      <c r="C54" s="27" t="s">
        <v>14</v>
      </c>
      <c r="D54" s="27"/>
      <c r="E54" s="27" t="s">
        <v>35</v>
      </c>
      <c r="F54" s="27" t="s">
        <v>16</v>
      </c>
      <c r="G54" s="28" t="s">
        <v>61</v>
      </c>
      <c r="H54" s="29">
        <f t="shared" si="2"/>
        <v>0.15486111111111112</v>
      </c>
      <c r="I54" s="30">
        <v>0.58402777777777781</v>
      </c>
      <c r="J54" s="30">
        <v>0.73888888888888893</v>
      </c>
    </row>
    <row r="55" spans="1:10" ht="75.599999999999994">
      <c r="A55" s="22">
        <v>46199</v>
      </c>
      <c r="B55" s="22" t="s">
        <v>13</v>
      </c>
      <c r="C55" s="27" t="s">
        <v>14</v>
      </c>
      <c r="D55" s="27"/>
      <c r="E55" s="27" t="s">
        <v>35</v>
      </c>
      <c r="F55" s="27" t="s">
        <v>16</v>
      </c>
      <c r="G55" s="28" t="s">
        <v>60</v>
      </c>
      <c r="H55" s="29">
        <f t="shared" si="2"/>
        <v>0.21041666666666664</v>
      </c>
      <c r="I55" s="30">
        <v>0.33333333333333331</v>
      </c>
      <c r="J55" s="30">
        <v>0.54374999999999996</v>
      </c>
    </row>
    <row r="56" spans="1:10" ht="63">
      <c r="A56" s="22">
        <v>46199</v>
      </c>
      <c r="B56" s="22" t="s">
        <v>13</v>
      </c>
      <c r="C56" s="27" t="s">
        <v>14</v>
      </c>
      <c r="D56" s="27"/>
      <c r="E56" s="27" t="s">
        <v>35</v>
      </c>
      <c r="F56" s="27" t="s">
        <v>16</v>
      </c>
      <c r="G56" s="28" t="s">
        <v>61</v>
      </c>
      <c r="H56" s="29">
        <f t="shared" si="2"/>
        <v>0.14097222222222217</v>
      </c>
      <c r="I56" s="30">
        <v>0.58402777777777781</v>
      </c>
      <c r="J56" s="30">
        <v>0.72499999999999998</v>
      </c>
    </row>
    <row r="57" spans="1:10">
      <c r="A57" s="31">
        <v>46200</v>
      </c>
      <c r="B57" s="31" t="s">
        <v>18</v>
      </c>
      <c r="C57" s="32"/>
      <c r="D57" s="32"/>
      <c r="E57" s="32"/>
      <c r="F57" s="32"/>
      <c r="G57" s="33"/>
      <c r="H57" s="34">
        <f t="shared" si="2"/>
        <v>0</v>
      </c>
      <c r="I57" s="35"/>
      <c r="J57" s="35"/>
    </row>
    <row r="58" spans="1:10">
      <c r="A58" s="31">
        <v>46201</v>
      </c>
      <c r="B58" s="31" t="s">
        <v>19</v>
      </c>
      <c r="C58" s="32"/>
      <c r="D58" s="32"/>
      <c r="E58" s="32"/>
      <c r="F58" s="32"/>
      <c r="G58" s="33"/>
      <c r="H58" s="34">
        <f t="shared" ref="H58:H62" si="4">J58-I58</f>
        <v>0</v>
      </c>
      <c r="I58" s="35"/>
      <c r="J58" s="35"/>
    </row>
    <row r="59" spans="1:10" ht="75.599999999999994">
      <c r="A59" s="22">
        <v>46202</v>
      </c>
      <c r="B59" s="22" t="s">
        <v>20</v>
      </c>
      <c r="C59" s="27" t="s">
        <v>14</v>
      </c>
      <c r="D59" s="27"/>
      <c r="E59" s="27" t="s">
        <v>35</v>
      </c>
      <c r="F59" s="27" t="s">
        <v>16</v>
      </c>
      <c r="G59" s="28" t="s">
        <v>60</v>
      </c>
      <c r="H59" s="29">
        <f t="shared" si="4"/>
        <v>0.21736111111111117</v>
      </c>
      <c r="I59" s="30">
        <v>0.33333333333333331</v>
      </c>
      <c r="J59" s="30">
        <v>0.55069444444444449</v>
      </c>
    </row>
    <row r="60" spans="1:10" ht="63">
      <c r="A60" s="22">
        <v>46202</v>
      </c>
      <c r="B60" s="22" t="s">
        <v>20</v>
      </c>
      <c r="C60" s="27" t="s">
        <v>14</v>
      </c>
      <c r="D60" s="27"/>
      <c r="E60" s="27" t="s">
        <v>35</v>
      </c>
      <c r="F60" s="27" t="s">
        <v>16</v>
      </c>
      <c r="G60" s="28" t="s">
        <v>61</v>
      </c>
      <c r="H60" s="29">
        <f>J60-I60</f>
        <v>0.12708333333333333</v>
      </c>
      <c r="I60" s="30">
        <v>0.58611111111111114</v>
      </c>
      <c r="J60" s="30">
        <v>0.71319444444444446</v>
      </c>
    </row>
    <row r="61" spans="1:10" ht="75.599999999999994">
      <c r="A61" s="22">
        <v>46203</v>
      </c>
      <c r="B61" s="22" t="s">
        <v>21</v>
      </c>
      <c r="C61" s="27" t="s">
        <v>14</v>
      </c>
      <c r="D61" s="27"/>
      <c r="E61" s="27" t="s">
        <v>35</v>
      </c>
      <c r="F61" s="27" t="s">
        <v>16</v>
      </c>
      <c r="G61" s="28" t="s">
        <v>60</v>
      </c>
      <c r="H61" s="29">
        <f t="shared" si="4"/>
        <v>0.2145833333333334</v>
      </c>
      <c r="I61" s="30">
        <v>0.33333333333333331</v>
      </c>
      <c r="J61" s="30">
        <v>0.54791666666666672</v>
      </c>
    </row>
    <row r="62" spans="1:10" ht="63.6" thickBot="1">
      <c r="A62" s="22">
        <v>46203</v>
      </c>
      <c r="B62" s="22" t="s">
        <v>21</v>
      </c>
      <c r="C62" s="27" t="s">
        <v>14</v>
      </c>
      <c r="D62" s="27"/>
      <c r="E62" s="27" t="s">
        <v>35</v>
      </c>
      <c r="F62" s="27" t="s">
        <v>16</v>
      </c>
      <c r="G62" s="28" t="s">
        <v>61</v>
      </c>
      <c r="H62" s="29">
        <f t="shared" si="4"/>
        <v>0.15069444444444446</v>
      </c>
      <c r="I62" s="30">
        <v>0.58819444444444446</v>
      </c>
      <c r="J62" s="30">
        <v>0.73888888888888893</v>
      </c>
    </row>
    <row r="63" spans="1:10" ht="13.9" customHeight="1" thickBot="1">
      <c r="A63" s="45"/>
      <c r="B63" s="45"/>
      <c r="C63" s="45"/>
      <c r="D63" s="45"/>
      <c r="E63" s="1"/>
      <c r="F63" s="1"/>
      <c r="G63" s="45"/>
      <c r="H63" s="36"/>
      <c r="I63" s="37"/>
    </row>
    <row r="64" spans="1:10" ht="13.9" customHeight="1">
      <c r="A64" s="4"/>
      <c r="B64" s="4"/>
      <c r="C64" s="5"/>
      <c r="D64" s="6"/>
      <c r="E64" s="7" t="s">
        <v>24</v>
      </c>
      <c r="F64" s="8">
        <v>168</v>
      </c>
      <c r="H64" s="40"/>
    </row>
    <row r="65" spans="1:8" ht="13.9" customHeight="1" thickBot="1">
      <c r="A65" s="4"/>
      <c r="B65" s="4"/>
      <c r="C65" s="9"/>
      <c r="D65" s="2"/>
      <c r="E65" s="10" t="s">
        <v>25</v>
      </c>
      <c r="F65" s="11">
        <v>21</v>
      </c>
      <c r="H65" s="40"/>
    </row>
    <row r="66" spans="1:8" ht="13.9" customHeight="1" thickBot="1">
      <c r="A66" s="120" t="s">
        <v>26</v>
      </c>
      <c r="B66" s="120"/>
      <c r="C66" s="120"/>
      <c r="D66" s="12"/>
      <c r="E66" s="2"/>
      <c r="F66" s="2"/>
      <c r="H66" s="40"/>
    </row>
    <row r="67" spans="1:8" ht="13.9">
      <c r="A67" s="13"/>
      <c r="B67" s="13"/>
      <c r="C67" s="6"/>
      <c r="D67" s="6"/>
      <c r="E67" s="14" t="s">
        <v>27</v>
      </c>
      <c r="F67" s="15">
        <f>SUMIF(F9:F62,"Billable",H9:H62)</f>
        <v>0</v>
      </c>
      <c r="H67" s="38"/>
    </row>
    <row r="68" spans="1:8" ht="15" customHeight="1" thickBot="1">
      <c r="A68" s="121" t="s">
        <v>28</v>
      </c>
      <c r="B68" s="121"/>
      <c r="C68" s="121"/>
      <c r="D68" s="16"/>
      <c r="E68" s="17" t="s">
        <v>29</v>
      </c>
      <c r="F68" s="18">
        <f>SUMIF(F9:F62,"Non-Billable",H9:H62)</f>
        <v>7.6194444444444427</v>
      </c>
      <c r="H68" s="40"/>
    </row>
    <row r="69" spans="1:8" ht="14.45" thickBot="1">
      <c r="A69" s="2"/>
      <c r="B69" s="2"/>
      <c r="C69" s="2"/>
      <c r="D69" s="2"/>
      <c r="E69" s="19" t="s">
        <v>30</v>
      </c>
      <c r="F69" s="44">
        <f>F67+F68</f>
        <v>7.6194444444444427</v>
      </c>
      <c r="H69" s="40"/>
    </row>
    <row r="70" spans="1:8" ht="13.9" thickBot="1">
      <c r="A70" s="2"/>
      <c r="B70" s="2"/>
      <c r="C70" s="2"/>
      <c r="D70" s="2"/>
      <c r="E70" s="2"/>
      <c r="F70" s="2"/>
      <c r="H70" s="40"/>
    </row>
    <row r="71" spans="1:8" ht="13.9" thickBot="1">
      <c r="A71" s="2"/>
      <c r="B71" s="2"/>
      <c r="C71" s="2"/>
      <c r="D71" s="2"/>
      <c r="E71" s="20" t="s">
        <v>31</v>
      </c>
      <c r="F71" s="21"/>
      <c r="H71" s="40"/>
    </row>
    <row r="72" spans="1:8" ht="13.15" thickBot="1">
      <c r="E72" s="39"/>
      <c r="H72" s="40"/>
    </row>
  </sheetData>
  <mergeCells count="2">
    <mergeCell ref="A66:C66"/>
    <mergeCell ref="A68:C68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72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63:E64 D66:E68 E71">
    <cfRule type="containsText" dxfId="61" priority="1" operator="containsText" text="Religious Leave">
      <formula>NOT(ISERROR(SEARCH("Religious Leave",D63)))</formula>
    </cfRule>
    <cfRule type="containsText" dxfId="60" priority="2" operator="containsText" text="Birthday Leave">
      <formula>NOT(ISERROR(SEARCH("Birthday Leave",D63)))</formula>
    </cfRule>
    <cfRule type="containsText" dxfId="59" priority="3" operator="containsText" text="Study Leave">
      <formula>NOT(ISERROR(SEARCH("Study Leave",D63)))</formula>
    </cfRule>
    <cfRule type="containsText" dxfId="58" priority="4" operator="containsText" text="Family Responsibility Leave">
      <formula>NOT(ISERROR(SEARCH("Family Responsibility Leave",D63)))</formula>
    </cfRule>
    <cfRule type="containsText" dxfId="57" priority="5" operator="containsText" text="Sick Leave">
      <formula>NOT(ISERROR(SEARCH("Sick Leave",D63)))</formula>
    </cfRule>
    <cfRule type="containsText" dxfId="56" priority="6" operator="containsText" text="Annual Leave">
      <formula>NOT(ISERROR(SEARCH("Annual Leave",D63)))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62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C59:C62 C46:C56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C19:C20 C33:C34 C57:C58 C44:C45</xm:sqref>
        </x14:dataValidation>
        <x14:dataValidation type="list" allowBlank="1" showInputMessage="1" showErrorMessage="1" xr:uid="{405EFAEA-09F9-426C-8EB4-C1D3371FF589}">
          <x14:formula1>
            <xm:f>Key!$J$3:$J$4</xm:f>
          </x14:formula1>
          <xm:sqref>F19:F20 F33:F34 F44:F62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E19:E20 E33:E34 E44:E62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32</v>
      </c>
      <c r="C5" s="37"/>
      <c r="H5" s="40"/>
    </row>
    <row r="6" spans="1:10">
      <c r="A6" s="37" t="s">
        <v>2</v>
      </c>
      <c r="B6" s="70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22</v>
      </c>
      <c r="C9" s="27" t="s">
        <v>14</v>
      </c>
      <c r="D9" s="27" t="s">
        <v>32</v>
      </c>
      <c r="E9" s="27" t="s">
        <v>63</v>
      </c>
      <c r="F9" s="27" t="s">
        <v>64</v>
      </c>
      <c r="G9" s="28" t="s">
        <v>65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23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13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18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19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20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21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22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23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18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19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20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21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22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23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18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19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20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21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22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23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13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18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19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20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21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22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23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22">
        <v>46234</v>
      </c>
      <c r="B39" s="22" t="s">
        <v>13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24</v>
      </c>
      <c r="F41" s="8"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25</v>
      </c>
      <c r="F42" s="11">
        <v>23</v>
      </c>
      <c r="H42" s="40"/>
    </row>
    <row r="43" spans="1:10" ht="13.9" customHeight="1" thickBot="1">
      <c r="A43" s="120" t="s">
        <v>26</v>
      </c>
      <c r="B43" s="120"/>
      <c r="C43" s="120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27</v>
      </c>
      <c r="F44" s="15">
        <f>SUMIF(F9:F39,"Billable",H9:H39)</f>
        <v>0.33333333333333331</v>
      </c>
      <c r="H44" s="38"/>
    </row>
    <row r="45" spans="1:10" ht="15" customHeight="1" thickBot="1">
      <c r="A45" s="121" t="s">
        <v>28</v>
      </c>
      <c r="B45" s="121"/>
      <c r="C45" s="121"/>
      <c r="D45" s="16"/>
      <c r="E45" s="17" t="s">
        <v>29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30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31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32</v>
      </c>
      <c r="C5" s="37"/>
      <c r="H5" s="40"/>
    </row>
    <row r="6" spans="1:10">
      <c r="A6" s="37" t="s">
        <v>2</v>
      </c>
      <c r="B6" s="70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18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19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20</v>
      </c>
      <c r="C11" s="27" t="s">
        <v>14</v>
      </c>
      <c r="D11" s="27" t="s">
        <v>32</v>
      </c>
      <c r="E11" s="27" t="s">
        <v>63</v>
      </c>
      <c r="F11" s="27" t="s">
        <v>64</v>
      </c>
      <c r="G11" s="28" t="s">
        <v>65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21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22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23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13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18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19</v>
      </c>
      <c r="C17" s="32"/>
      <c r="D17" s="32"/>
      <c r="E17" s="32"/>
      <c r="F17" s="32"/>
      <c r="G17" s="33" t="s">
        <v>66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20</v>
      </c>
      <c r="C18" s="48" t="s">
        <v>14</v>
      </c>
      <c r="D18" s="48"/>
      <c r="E18" s="48" t="s">
        <v>15</v>
      </c>
      <c r="F18" s="48" t="s">
        <v>16</v>
      </c>
      <c r="G18" s="49" t="s">
        <v>67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21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22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23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13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18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19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20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21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22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23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13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18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19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20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21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22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23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13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18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19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" customHeight="1">
      <c r="A39" s="22">
        <v>46265</v>
      </c>
      <c r="B39" s="22" t="s">
        <v>20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24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25</v>
      </c>
      <c r="F42" s="11">
        <v>20</v>
      </c>
      <c r="H42" s="40"/>
    </row>
    <row r="43" spans="1:10" ht="13.9" customHeight="1" thickBot="1">
      <c r="A43" s="120" t="s">
        <v>26</v>
      </c>
      <c r="B43" s="120"/>
      <c r="C43" s="120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27</v>
      </c>
      <c r="F44" s="15">
        <f>SUMIF(F9:F39,"Billable",H9:H39)</f>
        <v>0.33333333333333331</v>
      </c>
      <c r="H44" s="38"/>
    </row>
    <row r="45" spans="1:10" ht="15" customHeight="1" thickBot="1">
      <c r="A45" s="121" t="s">
        <v>28</v>
      </c>
      <c r="B45" s="121"/>
      <c r="C45" s="121"/>
      <c r="D45" s="16"/>
      <c r="E45" s="17" t="s">
        <v>29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30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31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32</v>
      </c>
      <c r="C5" s="37"/>
      <c r="H5" s="40"/>
    </row>
    <row r="6" spans="1:10">
      <c r="A6" s="37" t="s">
        <v>2</v>
      </c>
      <c r="B6" s="70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21</v>
      </c>
      <c r="C9" s="27" t="s">
        <v>14</v>
      </c>
      <c r="D9" s="27" t="s">
        <v>32</v>
      </c>
      <c r="E9" s="27" t="s">
        <v>63</v>
      </c>
      <c r="F9" s="27" t="s">
        <v>64</v>
      </c>
      <c r="G9" s="28" t="s">
        <v>65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22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23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13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18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19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20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21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22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23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13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18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19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20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21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22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23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13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18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19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20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21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22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23</v>
      </c>
      <c r="C32" s="48" t="s">
        <v>14</v>
      </c>
      <c r="D32" s="48"/>
      <c r="E32" s="48" t="s">
        <v>15</v>
      </c>
      <c r="F32" s="48" t="s">
        <v>16</v>
      </c>
      <c r="G32" s="49" t="s">
        <v>68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13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18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19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20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21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22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24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25</v>
      </c>
      <c r="F41" s="11">
        <v>21</v>
      </c>
      <c r="H41" s="40"/>
    </row>
    <row r="42" spans="1:10" ht="13.9" customHeight="1" thickBot="1">
      <c r="A42" s="120" t="s">
        <v>26</v>
      </c>
      <c r="B42" s="120"/>
      <c r="C42" s="120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27</v>
      </c>
      <c r="F43" s="15">
        <f>SUMIF(F9:F38,"Billable",H9:H38)</f>
        <v>0.33333333333333331</v>
      </c>
      <c r="H43" s="38"/>
    </row>
    <row r="44" spans="1:10" ht="15" customHeight="1" thickBot="1">
      <c r="A44" s="121" t="s">
        <v>28</v>
      </c>
      <c r="B44" s="121"/>
      <c r="C44" s="121"/>
      <c r="D44" s="16"/>
      <c r="E44" s="17" t="s">
        <v>29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30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31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78"/>
      <c r="B1" s="78"/>
      <c r="C1" s="78"/>
      <c r="D1" s="78"/>
      <c r="E1" s="78"/>
      <c r="F1" s="78"/>
    </row>
    <row r="2" spans="1:15">
      <c r="A2" s="77"/>
      <c r="B2" s="77"/>
      <c r="C2" s="82"/>
      <c r="D2" s="82"/>
      <c r="E2" s="82"/>
      <c r="F2" s="82"/>
    </row>
    <row r="3" spans="1:15">
      <c r="A3" s="77"/>
      <c r="B3" s="77"/>
      <c r="C3" s="83"/>
      <c r="D3" s="83"/>
      <c r="E3" s="83"/>
      <c r="F3" s="83"/>
    </row>
    <row r="4" spans="1:15">
      <c r="A4" s="77"/>
      <c r="B4" s="77"/>
      <c r="C4" s="84"/>
      <c r="D4" s="84"/>
      <c r="E4" s="84"/>
      <c r="F4" s="84"/>
    </row>
    <row r="5" spans="1:15">
      <c r="A5" s="37" t="s">
        <v>0</v>
      </c>
      <c r="B5" s="23" t="s">
        <v>32</v>
      </c>
      <c r="C5" s="84"/>
      <c r="D5" s="84"/>
      <c r="E5" s="84"/>
      <c r="F5" s="84"/>
    </row>
    <row r="6" spans="1:15">
      <c r="A6" s="77" t="s">
        <v>69</v>
      </c>
      <c r="B6" s="79">
        <f>F17</f>
        <v>200</v>
      </c>
      <c r="C6" s="82"/>
      <c r="D6" s="83"/>
      <c r="E6" s="83"/>
      <c r="F6" s="83"/>
    </row>
    <row r="7" spans="1:15" ht="13.5" customHeight="1">
      <c r="A7" s="71"/>
      <c r="B7" s="72"/>
      <c r="C7" s="72"/>
      <c r="D7" s="83"/>
      <c r="E7" s="83"/>
      <c r="F7" s="83"/>
    </row>
    <row r="8" spans="1:15" ht="27.4" customHeight="1">
      <c r="A8" s="130" t="s">
        <v>70</v>
      </c>
      <c r="B8" s="130"/>
      <c r="C8" s="130"/>
      <c r="D8" s="130"/>
      <c r="E8" s="130"/>
      <c r="F8" s="130"/>
    </row>
    <row r="9" spans="1:15" ht="13.5" customHeight="1" thickBot="1">
      <c r="A9" s="80" t="s">
        <v>71</v>
      </c>
      <c r="B9" s="133" t="s">
        <v>72</v>
      </c>
      <c r="C9" s="134"/>
      <c r="D9" s="133" t="s">
        <v>73</v>
      </c>
      <c r="E9" s="134"/>
      <c r="F9" s="81" t="s">
        <v>74</v>
      </c>
    </row>
    <row r="10" spans="1:15">
      <c r="A10" s="76">
        <v>46113</v>
      </c>
      <c r="B10" s="124" t="s">
        <v>75</v>
      </c>
      <c r="C10" s="124"/>
      <c r="D10" s="124" t="s">
        <v>76</v>
      </c>
      <c r="E10" s="124"/>
      <c r="F10" s="75">
        <v>200</v>
      </c>
      <c r="G10" s="131" t="s">
        <v>77</v>
      </c>
      <c r="H10" s="132"/>
      <c r="I10" s="132"/>
      <c r="J10" s="132"/>
      <c r="K10" s="132"/>
      <c r="L10" s="132"/>
      <c r="M10" s="132"/>
      <c r="N10" s="132"/>
      <c r="O10" s="132"/>
    </row>
    <row r="11" spans="1:15">
      <c r="A11" s="76">
        <v>46113</v>
      </c>
      <c r="B11" s="122" t="s">
        <v>78</v>
      </c>
      <c r="C11" s="123"/>
      <c r="D11" s="124" t="s">
        <v>79</v>
      </c>
      <c r="E11" s="124"/>
      <c r="F11" s="75"/>
    </row>
    <row r="12" spans="1:15">
      <c r="A12" s="76">
        <v>46113</v>
      </c>
      <c r="B12" s="122" t="s">
        <v>80</v>
      </c>
      <c r="C12" s="123"/>
      <c r="D12" s="124"/>
      <c r="E12" s="124"/>
      <c r="F12" s="75"/>
    </row>
    <row r="13" spans="1:15">
      <c r="A13" s="76">
        <v>46113</v>
      </c>
      <c r="B13" s="122"/>
      <c r="C13" s="123"/>
      <c r="D13" s="124"/>
      <c r="E13" s="124"/>
      <c r="F13" s="75"/>
    </row>
    <row r="14" spans="1:15">
      <c r="A14" s="76">
        <v>46113</v>
      </c>
      <c r="B14" s="122"/>
      <c r="C14" s="123"/>
      <c r="D14" s="124"/>
      <c r="E14" s="124"/>
      <c r="F14" s="75"/>
    </row>
    <row r="15" spans="1:15">
      <c r="A15" s="76">
        <v>46113</v>
      </c>
      <c r="B15" s="128"/>
      <c r="C15" s="129"/>
      <c r="D15" s="124"/>
      <c r="E15" s="124"/>
      <c r="F15" s="75"/>
    </row>
    <row r="16" spans="1:15" ht="13.15" thickBot="1">
      <c r="A16" s="76">
        <v>46113</v>
      </c>
      <c r="B16" s="122"/>
      <c r="C16" s="123"/>
      <c r="D16" s="124"/>
      <c r="E16" s="124"/>
      <c r="F16" s="75"/>
    </row>
    <row r="17" spans="1:6" ht="13.5" customHeight="1" thickBot="1">
      <c r="A17" s="125" t="s">
        <v>81</v>
      </c>
      <c r="B17" s="126"/>
      <c r="C17" s="126"/>
      <c r="D17" s="126"/>
      <c r="E17" s="127"/>
      <c r="F17" s="74">
        <f>SUM(F10:F16)</f>
        <v>200</v>
      </c>
    </row>
    <row r="18" spans="1:6">
      <c r="A18" s="71"/>
      <c r="B18" s="72"/>
      <c r="C18" s="72"/>
      <c r="D18" s="72"/>
      <c r="E18" s="73"/>
      <c r="F18" s="73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75" defaultRowHeight="12.6"/>
  <cols>
    <col min="1" max="1" width="15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35"/>
      <c r="B4" s="135"/>
    </row>
    <row r="5" spans="1:6">
      <c r="A5" s="37" t="s">
        <v>0</v>
      </c>
      <c r="B5" s="23" t="s">
        <v>32</v>
      </c>
    </row>
    <row r="6" spans="1:6">
      <c r="A6" s="77" t="s">
        <v>82</v>
      </c>
      <c r="B6" s="77"/>
    </row>
    <row r="7" spans="1:6">
      <c r="A7" s="93" t="s">
        <v>83</v>
      </c>
      <c r="B7" s="93"/>
    </row>
    <row r="8" spans="1:6">
      <c r="A8" s="94"/>
      <c r="B8" s="83"/>
    </row>
    <row r="9" spans="1:6" ht="27.4" customHeight="1">
      <c r="A9" s="148" t="s">
        <v>84</v>
      </c>
      <c r="B9" s="148"/>
      <c r="C9" s="148"/>
      <c r="D9" s="148"/>
      <c r="E9" s="148"/>
      <c r="F9" s="148"/>
    </row>
    <row r="10" spans="1:6" ht="25.15">
      <c r="A10" s="85" t="s">
        <v>85</v>
      </c>
      <c r="B10" s="85" t="s">
        <v>86</v>
      </c>
      <c r="C10" s="85" t="s">
        <v>87</v>
      </c>
      <c r="D10" s="85" t="s">
        <v>88</v>
      </c>
      <c r="E10" s="85" t="s">
        <v>89</v>
      </c>
      <c r="F10" s="85" t="s">
        <v>90</v>
      </c>
    </row>
    <row r="11" spans="1:6">
      <c r="A11" s="85" t="s">
        <v>91</v>
      </c>
      <c r="B11" s="115"/>
      <c r="C11" s="115"/>
      <c r="D11" s="85"/>
      <c r="E11" s="85"/>
      <c r="F11" s="85" t="s">
        <v>92</v>
      </c>
    </row>
    <row r="12" spans="1:6">
      <c r="A12" s="85"/>
      <c r="B12" s="85"/>
      <c r="C12" s="85"/>
      <c r="D12" s="85"/>
      <c r="E12" s="85"/>
      <c r="F12" s="85"/>
    </row>
    <row r="13" spans="1:6" ht="13.15" thickBot="1">
      <c r="A13" s="85"/>
      <c r="B13" s="85"/>
      <c r="C13" s="85"/>
      <c r="D13" s="85"/>
      <c r="E13" s="85"/>
      <c r="F13" s="85"/>
    </row>
    <row r="14" spans="1:6" ht="13.15" thickBot="1">
      <c r="A14" s="86"/>
      <c r="B14" s="87"/>
      <c r="C14" s="87"/>
      <c r="D14" s="88">
        <f>SUM(D11:D13)</f>
        <v>0</v>
      </c>
      <c r="E14" s="87"/>
      <c r="F14" s="89"/>
    </row>
    <row r="15" spans="1:6" ht="13.15" thickBot="1">
      <c r="A15" s="139"/>
      <c r="B15" s="140"/>
      <c r="C15" s="140"/>
      <c r="D15" s="140"/>
      <c r="E15" s="140"/>
      <c r="F15" s="140"/>
    </row>
    <row r="16" spans="1:6">
      <c r="A16" s="149" t="s">
        <v>93</v>
      </c>
      <c r="B16" s="150"/>
      <c r="C16" s="150"/>
      <c r="D16" s="150"/>
      <c r="E16" s="150"/>
      <c r="F16" s="151"/>
    </row>
    <row r="17" spans="1:6">
      <c r="A17" s="136"/>
      <c r="B17" s="137"/>
      <c r="C17" s="137"/>
      <c r="D17" s="137"/>
      <c r="E17" s="137"/>
      <c r="F17" s="138"/>
    </row>
    <row r="18" spans="1:6">
      <c r="A18" s="136"/>
      <c r="B18" s="137"/>
      <c r="C18" s="137"/>
      <c r="D18" s="137"/>
      <c r="E18" s="137"/>
      <c r="F18" s="138"/>
    </row>
    <row r="19" spans="1:6" ht="13.15" thickBot="1">
      <c r="A19" s="139"/>
      <c r="B19" s="140"/>
      <c r="C19" s="140"/>
      <c r="D19" s="140"/>
      <c r="E19" s="140"/>
      <c r="F19" s="141"/>
    </row>
    <row r="20" spans="1:6" ht="13.15" thickBot="1"/>
    <row r="21" spans="1:6">
      <c r="A21" s="90" t="s">
        <v>3</v>
      </c>
      <c r="B21" s="142"/>
      <c r="C21" s="142"/>
      <c r="D21" s="142"/>
      <c r="E21" s="142"/>
      <c r="F21" s="143"/>
    </row>
    <row r="22" spans="1:6">
      <c r="A22" s="91" t="s">
        <v>94</v>
      </c>
      <c r="B22" s="144"/>
      <c r="C22" s="144"/>
      <c r="D22" s="144"/>
      <c r="E22" s="144"/>
      <c r="F22" s="145"/>
    </row>
    <row r="23" spans="1:6" ht="13.15" thickBot="1">
      <c r="A23" s="92" t="s">
        <v>95</v>
      </c>
      <c r="B23" s="146"/>
      <c r="C23" s="146"/>
      <c r="D23" s="146"/>
      <c r="E23" s="146"/>
      <c r="F23" s="147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5" sqref="H65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4" t="s">
        <v>14</v>
      </c>
      <c r="D2" s="53" t="s">
        <v>96</v>
      </c>
      <c r="F2" s="52" t="s">
        <v>7</v>
      </c>
      <c r="H2" s="52" t="s">
        <v>97</v>
      </c>
      <c r="J2" s="53" t="s">
        <v>64</v>
      </c>
    </row>
    <row r="3" spans="2:10">
      <c r="B3" s="64" t="s">
        <v>98</v>
      </c>
      <c r="D3" s="69" t="s">
        <v>99</v>
      </c>
      <c r="F3" s="55" t="s">
        <v>63</v>
      </c>
      <c r="H3" s="66" t="s">
        <v>100</v>
      </c>
      <c r="I3" s="97"/>
      <c r="J3" s="56" t="s">
        <v>16</v>
      </c>
    </row>
    <row r="4" spans="2:10">
      <c r="B4" s="64" t="s">
        <v>101</v>
      </c>
      <c r="D4" s="54" t="s">
        <v>102</v>
      </c>
      <c r="F4" s="57" t="s">
        <v>103</v>
      </c>
      <c r="H4" s="99" t="s">
        <v>104</v>
      </c>
      <c r="I4" s="66"/>
      <c r="J4" s="58" t="s">
        <v>64</v>
      </c>
    </row>
    <row r="5" spans="2:10">
      <c r="B5" s="64" t="s">
        <v>105</v>
      </c>
      <c r="D5" s="69" t="s">
        <v>106</v>
      </c>
      <c r="F5" s="59" t="s">
        <v>107</v>
      </c>
      <c r="H5" s="66" t="s">
        <v>108</v>
      </c>
      <c r="I5" s="98"/>
    </row>
    <row r="6" spans="2:10">
      <c r="B6" s="64" t="s">
        <v>109</v>
      </c>
      <c r="D6" s="54" t="s">
        <v>110</v>
      </c>
      <c r="F6" s="57" t="s">
        <v>111</v>
      </c>
      <c r="H6" s="97" t="s">
        <v>112</v>
      </c>
      <c r="I6" s="99"/>
    </row>
    <row r="7" spans="2:10">
      <c r="B7" s="64" t="s">
        <v>113</v>
      </c>
      <c r="D7" s="69" t="s">
        <v>114</v>
      </c>
      <c r="F7" s="59" t="s">
        <v>35</v>
      </c>
      <c r="H7" s="65" t="s">
        <v>115</v>
      </c>
      <c r="I7" s="100"/>
    </row>
    <row r="8" spans="2:10">
      <c r="B8" s="64" t="s">
        <v>116</v>
      </c>
      <c r="D8" s="54" t="s">
        <v>117</v>
      </c>
      <c r="F8" s="57" t="s">
        <v>118</v>
      </c>
      <c r="H8" s="100" t="s">
        <v>119</v>
      </c>
      <c r="I8" s="97"/>
      <c r="J8" s="52" t="s">
        <v>120</v>
      </c>
    </row>
    <row r="9" spans="2:10">
      <c r="B9" s="64" t="s">
        <v>121</v>
      </c>
      <c r="D9" s="69" t="s">
        <v>122</v>
      </c>
      <c r="F9" s="59" t="s">
        <v>123</v>
      </c>
      <c r="H9" s="101" t="s">
        <v>124</v>
      </c>
      <c r="I9" s="97"/>
      <c r="J9" s="52" t="s">
        <v>76</v>
      </c>
    </row>
    <row r="10" spans="2:10">
      <c r="B10" s="64" t="s">
        <v>125</v>
      </c>
      <c r="D10" s="54" t="s">
        <v>126</v>
      </c>
      <c r="F10" s="57" t="s">
        <v>127</v>
      </c>
      <c r="H10" s="105" t="s">
        <v>128</v>
      </c>
      <c r="I10" s="100"/>
    </row>
    <row r="11" spans="2:10">
      <c r="B11" s="64" t="s">
        <v>129</v>
      </c>
      <c r="D11" s="69" t="s">
        <v>130</v>
      </c>
      <c r="F11" s="59" t="s">
        <v>131</v>
      </c>
      <c r="H11" s="101" t="s">
        <v>132</v>
      </c>
      <c r="I11" s="100"/>
      <c r="J11" s="52" t="s">
        <v>133</v>
      </c>
    </row>
    <row r="12" spans="2:10">
      <c r="B12" s="64" t="s">
        <v>134</v>
      </c>
      <c r="F12" s="57" t="s">
        <v>135</v>
      </c>
      <c r="H12" s="105" t="s">
        <v>136</v>
      </c>
      <c r="I12" s="101"/>
      <c r="J12" s="52" t="s">
        <v>137</v>
      </c>
    </row>
    <row r="13" spans="2:10">
      <c r="B13" s="64" t="s">
        <v>138</v>
      </c>
      <c r="F13" s="59" t="s">
        <v>139</v>
      </c>
      <c r="H13" s="102" t="s">
        <v>140</v>
      </c>
      <c r="I13" s="101"/>
    </row>
    <row r="14" spans="2:10">
      <c r="B14" s="64" t="s">
        <v>141</v>
      </c>
      <c r="D14" s="60"/>
      <c r="F14" s="57" t="s">
        <v>142</v>
      </c>
      <c r="H14" s="103" t="s">
        <v>143</v>
      </c>
      <c r="I14" s="102"/>
    </row>
    <row r="15" spans="2:10">
      <c r="B15" s="64" t="s">
        <v>144</v>
      </c>
      <c r="D15" s="61"/>
      <c r="F15" s="59" t="s">
        <v>145</v>
      </c>
      <c r="H15" s="101" t="s">
        <v>146</v>
      </c>
      <c r="I15" s="101"/>
    </row>
    <row r="16" spans="2:10">
      <c r="B16" s="64" t="s">
        <v>147</v>
      </c>
      <c r="D16" s="61"/>
      <c r="F16" s="57" t="s">
        <v>148</v>
      </c>
      <c r="H16" s="102" t="s">
        <v>149</v>
      </c>
      <c r="I16" s="103"/>
    </row>
    <row r="17" spans="2:9">
      <c r="B17" s="64" t="s">
        <v>150</v>
      </c>
      <c r="D17" s="61"/>
      <c r="F17" s="59" t="s">
        <v>151</v>
      </c>
      <c r="H17" s="65" t="s">
        <v>152</v>
      </c>
      <c r="I17" s="101"/>
    </row>
    <row r="18" spans="2:9">
      <c r="B18" s="64" t="s">
        <v>153</v>
      </c>
      <c r="D18" s="61"/>
      <c r="F18" s="57" t="s">
        <v>154</v>
      </c>
      <c r="H18" s="106" t="s">
        <v>155</v>
      </c>
      <c r="I18" s="103"/>
    </row>
    <row r="19" spans="2:9">
      <c r="B19" s="64" t="s">
        <v>156</v>
      </c>
      <c r="D19" s="61"/>
      <c r="F19" s="59" t="s">
        <v>33</v>
      </c>
      <c r="H19" s="68" t="s">
        <v>157</v>
      </c>
      <c r="I19" s="104"/>
    </row>
    <row r="20" spans="2:9">
      <c r="B20" s="64" t="s">
        <v>158</v>
      </c>
      <c r="D20" s="61"/>
      <c r="F20" s="57" t="s">
        <v>159</v>
      </c>
      <c r="H20" s="68" t="s">
        <v>160</v>
      </c>
      <c r="I20" s="102"/>
    </row>
    <row r="21" spans="2:9">
      <c r="B21" s="64" t="s">
        <v>161</v>
      </c>
      <c r="D21" s="61"/>
      <c r="F21" s="59" t="s">
        <v>162</v>
      </c>
      <c r="H21" s="110" t="s">
        <v>163</v>
      </c>
      <c r="I21" s="100"/>
    </row>
    <row r="22" spans="2:9" ht="27.6">
      <c r="B22" s="64" t="s">
        <v>164</v>
      </c>
      <c r="D22" s="61"/>
      <c r="F22" s="57" t="s">
        <v>165</v>
      </c>
      <c r="H22" s="116" t="s">
        <v>166</v>
      </c>
      <c r="I22" s="105"/>
    </row>
    <row r="23" spans="2:9">
      <c r="B23" s="64" t="s">
        <v>167</v>
      </c>
      <c r="D23" s="61"/>
      <c r="F23" s="59" t="s">
        <v>168</v>
      </c>
      <c r="H23" s="108" t="s">
        <v>32</v>
      </c>
      <c r="I23" s="106"/>
    </row>
    <row r="24" spans="2:9">
      <c r="B24" s="64" t="s">
        <v>169</v>
      </c>
      <c r="D24" s="61"/>
      <c r="F24" s="57" t="s">
        <v>170</v>
      </c>
      <c r="H24" s="68" t="s">
        <v>171</v>
      </c>
      <c r="I24" s="107"/>
    </row>
    <row r="25" spans="2:9">
      <c r="B25" s="64" t="s">
        <v>172</v>
      </c>
      <c r="D25" s="61"/>
      <c r="F25" s="59" t="s">
        <v>173</v>
      </c>
      <c r="H25" s="110" t="s">
        <v>174</v>
      </c>
      <c r="I25" s="108"/>
    </row>
    <row r="26" spans="2:9">
      <c r="B26" s="64" t="s">
        <v>175</v>
      </c>
      <c r="F26" s="57" t="s">
        <v>176</v>
      </c>
      <c r="H26" s="68" t="s">
        <v>177</v>
      </c>
    </row>
    <row r="27" spans="2:9">
      <c r="B27" s="64" t="s">
        <v>178</v>
      </c>
      <c r="D27" s="61"/>
      <c r="F27" s="59" t="s">
        <v>179</v>
      </c>
      <c r="H27" s="107" t="s">
        <v>180</v>
      </c>
      <c r="I27" s="106"/>
    </row>
    <row r="28" spans="2:9">
      <c r="B28" s="64" t="s">
        <v>181</v>
      </c>
      <c r="D28" s="61"/>
      <c r="F28" s="57" t="s">
        <v>182</v>
      </c>
      <c r="H28" s="110" t="s">
        <v>183</v>
      </c>
      <c r="I28" s="68"/>
    </row>
    <row r="29" spans="2:9">
      <c r="B29" s="64" t="s">
        <v>184</v>
      </c>
      <c r="F29" s="59" t="s">
        <v>185</v>
      </c>
      <c r="H29" s="108" t="s">
        <v>186</v>
      </c>
      <c r="I29" s="109"/>
    </row>
    <row r="30" spans="2:9">
      <c r="B30" s="64" t="s">
        <v>187</v>
      </c>
      <c r="F30" s="57" t="s">
        <v>188</v>
      </c>
      <c r="H30" s="67" t="s">
        <v>189</v>
      </c>
      <c r="I30" s="107"/>
    </row>
    <row r="31" spans="2:9">
      <c r="B31" s="64" t="s">
        <v>190</v>
      </c>
      <c r="F31" s="59" t="s">
        <v>191</v>
      </c>
      <c r="H31" s="67" t="s">
        <v>192</v>
      </c>
    </row>
    <row r="32" spans="2:9">
      <c r="B32" s="64" t="s">
        <v>193</v>
      </c>
      <c r="F32" s="57" t="s">
        <v>194</v>
      </c>
      <c r="H32" s="109" t="s">
        <v>195</v>
      </c>
      <c r="I32" s="108"/>
    </row>
    <row r="33" spans="2:9">
      <c r="B33" s="64" t="s">
        <v>196</v>
      </c>
      <c r="F33" s="59" t="s">
        <v>91</v>
      </c>
      <c r="H33" s="117" t="s">
        <v>197</v>
      </c>
      <c r="I33" s="108"/>
    </row>
    <row r="34" spans="2:9">
      <c r="B34" s="64" t="s">
        <v>198</v>
      </c>
      <c r="F34" s="57" t="s">
        <v>199</v>
      </c>
      <c r="H34" s="107" t="s">
        <v>1</v>
      </c>
      <c r="I34" s="67"/>
    </row>
    <row r="35" spans="2:9">
      <c r="B35" s="64" t="s">
        <v>200</v>
      </c>
      <c r="F35" s="59" t="s">
        <v>201</v>
      </c>
      <c r="H35" s="112" t="s">
        <v>202</v>
      </c>
      <c r="I35" s="107"/>
    </row>
    <row r="36" spans="2:9">
      <c r="B36" s="64" t="s">
        <v>203</v>
      </c>
      <c r="F36" s="57" t="s">
        <v>204</v>
      </c>
      <c r="H36" s="109" t="s">
        <v>205</v>
      </c>
      <c r="I36" s="100"/>
    </row>
    <row r="37" spans="2:9">
      <c r="B37" s="64" t="s">
        <v>206</v>
      </c>
      <c r="F37" s="57" t="s">
        <v>207</v>
      </c>
      <c r="H37" s="110" t="s">
        <v>208</v>
      </c>
      <c r="I37" s="108"/>
    </row>
    <row r="38" spans="2:9">
      <c r="B38" s="64" t="s">
        <v>209</v>
      </c>
      <c r="F38" s="57" t="s">
        <v>15</v>
      </c>
      <c r="H38" s="107" t="s">
        <v>210</v>
      </c>
      <c r="I38" s="107"/>
    </row>
    <row r="39" spans="2:9" ht="27.6">
      <c r="B39" s="64" t="s">
        <v>211</v>
      </c>
      <c r="F39" s="57" t="s">
        <v>212</v>
      </c>
      <c r="H39" s="107" t="s">
        <v>213</v>
      </c>
      <c r="I39" s="109"/>
    </row>
    <row r="40" spans="2:9">
      <c r="B40" s="64" t="s">
        <v>214</v>
      </c>
      <c r="F40" s="59" t="s">
        <v>215</v>
      </c>
      <c r="H40" s="67" t="s">
        <v>216</v>
      </c>
      <c r="I40" s="110"/>
    </row>
    <row r="41" spans="2:9">
      <c r="B41" s="64" t="s">
        <v>217</v>
      </c>
      <c r="D41" s="63"/>
      <c r="H41" s="109" t="s">
        <v>218</v>
      </c>
      <c r="I41" s="110"/>
    </row>
    <row r="42" spans="2:9">
      <c r="B42" s="64" t="s">
        <v>219</v>
      </c>
      <c r="H42" s="110" t="s">
        <v>220</v>
      </c>
      <c r="I42" s="107"/>
    </row>
    <row r="43" spans="2:9">
      <c r="B43" s="64" t="s">
        <v>221</v>
      </c>
      <c r="H43" s="107" t="s">
        <v>222</v>
      </c>
      <c r="I43" s="109"/>
    </row>
    <row r="44" spans="2:9">
      <c r="B44" s="119" t="s">
        <v>223</v>
      </c>
      <c r="H44" s="109" t="s">
        <v>224</v>
      </c>
    </row>
    <row r="45" spans="2:9">
      <c r="H45" s="110" t="s">
        <v>225</v>
      </c>
      <c r="I45" s="108"/>
    </row>
    <row r="46" spans="2:9">
      <c r="H46" s="68" t="s">
        <v>226</v>
      </c>
      <c r="I46" s="111"/>
    </row>
    <row r="47" spans="2:9">
      <c r="B47" s="62"/>
      <c r="H47" s="110" t="s">
        <v>227</v>
      </c>
      <c r="I47" s="110"/>
    </row>
    <row r="48" spans="2:9">
      <c r="H48" s="68" t="s">
        <v>228</v>
      </c>
      <c r="I48" s="110"/>
    </row>
    <row r="49" spans="8:9">
      <c r="H49" s="107" t="s">
        <v>229</v>
      </c>
      <c r="I49" s="110"/>
    </row>
    <row r="50" spans="8:9">
      <c r="H50" s="68" t="s">
        <v>230</v>
      </c>
      <c r="I50" s="110"/>
    </row>
    <row r="51" spans="8:9">
      <c r="H51" s="67" t="s">
        <v>231</v>
      </c>
      <c r="I51" s="110"/>
    </row>
    <row r="52" spans="8:9">
      <c r="H52" s="110" t="s">
        <v>232</v>
      </c>
    </row>
    <row r="53" spans="8:9">
      <c r="H53" s="107" t="s">
        <v>233</v>
      </c>
      <c r="I53" s="110"/>
    </row>
    <row r="54" spans="8:9">
      <c r="H54" s="67" t="s">
        <v>234</v>
      </c>
      <c r="I54" s="109"/>
    </row>
    <row r="55" spans="8:9">
      <c r="H55" s="68" t="s">
        <v>235</v>
      </c>
      <c r="I55" s="109"/>
    </row>
    <row r="56" spans="8:9">
      <c r="H56" s="107" t="s">
        <v>236</v>
      </c>
      <c r="I56" s="68"/>
    </row>
    <row r="57" spans="8:9">
      <c r="H57" s="68" t="s">
        <v>237</v>
      </c>
      <c r="I57" s="110"/>
    </row>
    <row r="58" spans="8:9">
      <c r="H58" s="68" t="s">
        <v>238</v>
      </c>
      <c r="I58" s="110"/>
    </row>
    <row r="59" spans="8:9">
      <c r="H59" s="110" t="s">
        <v>239</v>
      </c>
      <c r="I59" s="113"/>
    </row>
    <row r="60" spans="8:9">
      <c r="H60" s="113" t="s">
        <v>240</v>
      </c>
      <c r="I60" s="67"/>
    </row>
    <row r="61" spans="8:9">
      <c r="H61" s="67" t="s">
        <v>241</v>
      </c>
      <c r="I61" s="108"/>
    </row>
    <row r="62" spans="8:9">
      <c r="H62" s="67" t="s">
        <v>242</v>
      </c>
      <c r="I62" s="67"/>
    </row>
    <row r="63" spans="8:9">
      <c r="H63" s="108" t="s">
        <v>243</v>
      </c>
    </row>
    <row r="64" spans="8:9">
      <c r="H64" s="118" t="s">
        <v>244</v>
      </c>
    </row>
    <row r="65" spans="8:8">
      <c r="H65" s="109"/>
    </row>
    <row r="66" spans="8:8">
      <c r="H66" s="107"/>
    </row>
    <row r="67" spans="8:8">
      <c r="H67" s="110"/>
    </row>
    <row r="68" spans="8:8">
      <c r="H68" s="100"/>
    </row>
    <row r="69" spans="8:8">
      <c r="H69" s="110"/>
    </row>
    <row r="70" spans="8:8">
      <c r="H70" s="68"/>
    </row>
    <row r="71" spans="8:8">
      <c r="H71" s="107"/>
    </row>
    <row r="72" spans="8:8">
      <c r="H72" s="109"/>
    </row>
    <row r="73" spans="8:8">
      <c r="H73" s="98"/>
    </row>
    <row r="74" spans="8:8">
      <c r="H74" s="105"/>
    </row>
    <row r="75" spans="8:8">
      <c r="H75" s="114"/>
    </row>
    <row r="76" spans="8:8">
      <c r="H76" s="114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9814D0-2BDB-4676-B2BD-4733BE5A31DE}"/>
</file>

<file path=customXml/itemProps2.xml><?xml version="1.0" encoding="utf-8"?>
<ds:datastoreItem xmlns:ds="http://schemas.openxmlformats.org/officeDocument/2006/customXml" ds:itemID="{A20CEFF8-5893-4EFE-87E6-7A643E98B62C}"/>
</file>

<file path=customXml/itemProps3.xml><?xml version="1.0" encoding="utf-8"?>
<ds:datastoreItem xmlns:ds="http://schemas.openxmlformats.org/officeDocument/2006/customXml" ds:itemID="{1561970D-D374-4B8D-B44A-44EA9F3D81A8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Kayden Padayachee</cp:lastModifiedBy>
  <cp:revision/>
  <dcterms:created xsi:type="dcterms:W3CDTF">2020-04-02T09:04:10Z</dcterms:created>
  <dcterms:modified xsi:type="dcterms:W3CDTF">2026-06-30T18:06:21Z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